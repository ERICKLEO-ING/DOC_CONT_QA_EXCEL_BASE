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k\Desktop\ERIKA\QA\work contraloria\erika QA\TERCER PRODUCTO\"/>
    </mc:Choice>
  </mc:AlternateContent>
  <xr:revisionPtr revIDLastSave="0" documentId="13_ncr:1_{71B9F2C7-4B22-4B57-84CB-7B593749E2F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LAN DE EJECUCION" sheetId="1" r:id="rId1"/>
    <sheet name="AVANCE EJECUCIÓN " sheetId="2" r:id="rId2"/>
    <sheet name="CONSOLIDADO DE INCIDENCIAS" sheetId="3" r:id="rId3"/>
  </sheets>
  <definedNames>
    <definedName name="_xlnm._FilterDatabase" localSheetId="2" hidden="1">'CONSOLIDADO DE INCIDENCIAS'!$A$1:$Z$50</definedName>
    <definedName name="_xlnm._FilterDatabase" localSheetId="0" hidden="1">'PLAN DE EJECUCION'!$B$15:$AA$15</definedName>
    <definedName name="_Hlk20317136" localSheetId="2">#REF!</definedName>
    <definedName name="OLE_LINK40" localSheetId="2">#REF!</definedName>
    <definedName name="Z_022B7002_BF2C_467C_94C6_2F4B1957B723_.wvu.FilterData" localSheetId="2" hidden="1">'CONSOLIDADO DE INCIDENCIAS'!$A$1:$AC$249</definedName>
    <definedName name="Z_031DCFBF_D9DE_47C6_9728_A245B3E32D0E_.wvu.FilterData" localSheetId="2" hidden="1">'CONSOLIDADO DE INCIDENCIAS'!$A$78:$AH$249</definedName>
    <definedName name="Z_053C502E_8A07_4287_9848_FA53BEF25CDC_.wvu.FilterData" localSheetId="2" hidden="1">'CONSOLIDADO DE INCIDENCIAS'!$A$78:$V$249</definedName>
    <definedName name="Z_05F2F1B6_41D6_4FE2_8B6F_005B78715AF3_.wvu.FilterData" localSheetId="2" hidden="1">'CONSOLIDADO DE INCIDENCIAS'!$A$1:$M$249</definedName>
    <definedName name="Z_0664A433_8342_47CF_996F_52A146D92FFA_.wvu.FilterData" localSheetId="2" hidden="1">'CONSOLIDADO DE INCIDENCIAS'!$A$1:$V$249</definedName>
    <definedName name="Z_083EE738_64D6_4E61_826A_8DE1537EB8D2_.wvu.FilterData" localSheetId="2" hidden="1">'CONSOLIDADO DE INCIDENCIAS'!$A$1:$AC$249</definedName>
    <definedName name="Z_09C98F4F_9DB4_46CA_B54D_4A2995F0F31F_.wvu.FilterData" localSheetId="2" hidden="1">'CONSOLIDADO DE INCIDENCIAS'!$A$78:$AB$249</definedName>
    <definedName name="Z_09E5EA25_4EA2_495A_8983_EE3B02D31F2C_.wvu.FilterData" localSheetId="2" hidden="1">'CONSOLIDADO DE INCIDENCIAS'!$A$1:$AH$249</definedName>
    <definedName name="Z_0D3440E2_FC27_4522_BB39_DF9F0B4D5D72_.wvu.FilterData" localSheetId="2" hidden="1">'CONSOLIDADO DE INCIDENCIAS'!$A$1:$V$249</definedName>
    <definedName name="Z_0D6C0055_A8FD_46C4_B2B7_CE5CC0B77CA1_.wvu.FilterData" localSheetId="2" hidden="1">'CONSOLIDADO DE INCIDENCIAS'!$A$78:$AC$249</definedName>
    <definedName name="Z_0F4A1A03_8A66_493D_AD63_B9D2D2F331E5_.wvu.FilterData" localSheetId="2" hidden="1">'CONSOLIDADO DE INCIDENCIAS'!$A$78:$M$249</definedName>
    <definedName name="Z_1012F98C_3763_4EDE_B5D5_20FE546E5D46_.wvu.FilterData" localSheetId="2" hidden="1">'CONSOLIDADO DE INCIDENCIAS'!$A$78:$M$249</definedName>
    <definedName name="Z_114F6802_2197_4322_B73A_0FC23C08550B_.wvu.FilterData" localSheetId="2" hidden="1">'CONSOLIDADO DE INCIDENCIAS'!$A$78:$T$249</definedName>
    <definedName name="Z_1187F710_8C93_4B53_A6DF_7457530643E4_.wvu.FilterData" localSheetId="2" hidden="1">'CONSOLIDADO DE INCIDENCIAS'!$A$78:$T$249</definedName>
    <definedName name="Z_128F9D38_1393_4A5A_8793_FA346A5557C6_.wvu.FilterData" localSheetId="2" hidden="1">'CONSOLIDADO DE INCIDENCIAS'!$A$78:$O$92</definedName>
    <definedName name="Z_14B5872E_AC42_46F2_A978_C2125F6F2A00_.wvu.FilterData" localSheetId="2" hidden="1">'CONSOLIDADO DE INCIDENCIAS'!$A$78:$M$249</definedName>
    <definedName name="Z_15081274_07BD_4195_B8A0_FEF6F2D55112_.wvu.FilterData" localSheetId="2" hidden="1">'CONSOLIDADO DE INCIDENCIAS'!$X$78:$AC$79</definedName>
    <definedName name="Z_16E4E86E_1438_468A_A344_51769E38771E_.wvu.FilterData" localSheetId="2" hidden="1">'CONSOLIDADO DE INCIDENCIAS'!$A$78:$AC$249</definedName>
    <definedName name="Z_16F4301D_B836_42F7_8020_2803956B914A_.wvu.FilterData" localSheetId="2" hidden="1">'CONSOLIDADO DE INCIDENCIAS'!$A$78:$M$249</definedName>
    <definedName name="Z_181AD504_66D9_4767_A682_83F62E4814B8_.wvu.FilterData" localSheetId="2" hidden="1">'CONSOLIDADO DE INCIDENCIAS'!$A$78:$AB$249</definedName>
    <definedName name="Z_1A78E216_AD46_44A0_9060_262F73619572_.wvu.FilterData" localSheetId="2" hidden="1">'CONSOLIDADO DE INCIDENCIAS'!$A$78:$M$249</definedName>
    <definedName name="Z_1A99267A_0283_4461_BF75_71DA22AC7D08_.wvu.FilterData" localSheetId="2" hidden="1">'CONSOLIDADO DE INCIDENCIAS'!$A$78:$M$249</definedName>
    <definedName name="Z_1C8DE838_11D6_4F8D_A300_0436111F4A12_.wvu.FilterData" localSheetId="2" hidden="1">'CONSOLIDADO DE INCIDENCIAS'!$A$78:$M$249</definedName>
    <definedName name="Z_1E107AD8_4A76_44CE_A9E1_AC0B663F3D7A_.wvu.FilterData" localSheetId="2" hidden="1">'CONSOLIDADO DE INCIDENCIAS'!$A$78:$T$249</definedName>
    <definedName name="Z_1FD4AC56_906D_4D4D_8534_FFCD905BEAB1_.wvu.FilterData" localSheetId="2" hidden="1">'CONSOLIDADO DE INCIDENCIAS'!$B$86:$B$249</definedName>
    <definedName name="Z_207366EA_06E5_4A7A_A8D5_930D94B44938_.wvu.FilterData" localSheetId="2" hidden="1">'CONSOLIDADO DE INCIDENCIAS'!$A$1:$AC$249</definedName>
    <definedName name="Z_21D3ABEC_E9B8_4B9E_B21F_3A1E35E59296_.wvu.FilterData" localSheetId="2" hidden="1">'CONSOLIDADO DE INCIDENCIAS'!$A$1:$V$249</definedName>
    <definedName name="Z_2616F909_F6A8_4875_92F1_7489011979BE_.wvu.FilterData" localSheetId="2" hidden="1">'CONSOLIDADO DE INCIDENCIAS'!$A$78:$AH$249</definedName>
    <definedName name="Z_26BE083E_F813_43CD_8080_176AC71EC6B1_.wvu.FilterData" localSheetId="2" hidden="1">'CONSOLIDADO DE INCIDENCIAS'!$A$1:$M$199</definedName>
    <definedName name="Z_276671E9_83F3_4274_8123_98123DFEA35E_.wvu.FilterData" localSheetId="2" hidden="1">'CONSOLIDADO DE INCIDENCIAS'!$A$1:$AC$249</definedName>
    <definedName name="Z_2F8F6613_367B_4DCA_AEBA_E7517ACEC861_.wvu.FilterData" localSheetId="2" hidden="1">'CONSOLIDADO DE INCIDENCIAS'!$A$78:$V$249</definedName>
    <definedName name="Z_3118B097_E2D5_4853_9ECC_4F918F82032A_.wvu.FilterData" localSheetId="2" hidden="1">'CONSOLIDADO DE INCIDENCIAS'!$P$1:$S$249</definedName>
    <definedName name="Z_33F92E74_8D12_4DBD_BE96_35943AA5CB92_.wvu.FilterData" localSheetId="2" hidden="1">'CONSOLIDADO DE INCIDENCIAS'!$A$1:$V$249</definedName>
    <definedName name="Z_35895A84_4FC6_4B15_A2A8_F8E79622C3D5_.wvu.FilterData" localSheetId="2" hidden="1">'CONSOLIDADO DE INCIDENCIAS'!$A$1:$AC$249</definedName>
    <definedName name="Z_36F164B3_D871_43E5_A9AC_A6B23943FEEB_.wvu.FilterData" localSheetId="2" hidden="1">'CONSOLIDADO DE INCIDENCIAS'!$A$78:$M$249</definedName>
    <definedName name="Z_3785B557_4AE9_4AF6_A2C2_13FE9E0136EA_.wvu.FilterData" localSheetId="2" hidden="1">'CONSOLIDADO DE INCIDENCIAS'!$A$1:$AH$249</definedName>
    <definedName name="Z_3975D1DF_8296_445E_A42B_725F6FF47E60_.wvu.FilterData" localSheetId="2" hidden="1">'CONSOLIDADO DE INCIDENCIAS'!$A$1:$M$249</definedName>
    <definedName name="Z_399CA99F_CCAB_41B7_A86F_4A8915850AD8_.wvu.FilterData" localSheetId="2" hidden="1">'CONSOLIDADO DE INCIDENCIAS'!$P$1:$S$249</definedName>
    <definedName name="Z_3A6B1647_FE81_4D08_93FF_8878C0A8F211_.wvu.FilterData" localSheetId="2" hidden="1">'CONSOLIDADO DE INCIDENCIAS'!$A$78:$AH$249</definedName>
    <definedName name="Z_3CF00FDE_7551_417F_A3B7_071FB8CAD5A6_.wvu.FilterData" localSheetId="2" hidden="1">'CONSOLIDADO DE INCIDENCIAS'!$A$78:$M$249</definedName>
    <definedName name="Z_415177D4_69C6_49B2_AC44_16824A0261AD_.wvu.FilterData" localSheetId="2" hidden="1">'CONSOLIDADO DE INCIDENCIAS'!$A$1:$M$249</definedName>
    <definedName name="Z_4693FF95_89F1_49D1_A143_D590B5504BB9_.wvu.FilterData" localSheetId="2" hidden="1">'CONSOLIDADO DE INCIDENCIAS'!$A$1:$AC$249</definedName>
    <definedName name="Z_46F690DE_B704_4543_ADDC_843710AE2022_.wvu.FilterData" localSheetId="2" hidden="1">'CONSOLIDADO DE INCIDENCIAS'!$A$1:$V$249</definedName>
    <definedName name="Z_4C23C600_26F2_4062_8D06_D7DF755CD599_.wvu.FilterData" localSheetId="2" hidden="1">'CONSOLIDADO DE INCIDENCIAS'!$A$1:$AC$249</definedName>
    <definedName name="Z_4E5EDA9F_A36F_445A_886D_3EEAB87FECC8_.wvu.FilterData" localSheetId="2" hidden="1">'CONSOLIDADO DE INCIDENCIAS'!$A$78:$T$216</definedName>
    <definedName name="Z_510F36EF_0F2F_4421_8AE2_42331185E17D_.wvu.FilterData" localSheetId="2" hidden="1">'CONSOLIDADO DE INCIDENCIAS'!$A$78:$V$249</definedName>
    <definedName name="Z_52D82730_8101_42C2_8356_45F6C23FB072_.wvu.FilterData" localSheetId="2" hidden="1">'CONSOLIDADO DE INCIDENCIAS'!$A$78:$AB$249</definedName>
    <definedName name="Z_5371A75B_87E1_4B09_A057_556485EA8892_.wvu.FilterData" localSheetId="2" hidden="1">'CONSOLIDADO DE INCIDENCIAS'!$A$78:$M$249</definedName>
    <definedName name="Z_5727B7AE_53CF_47FC_A192_2FFE798B15CD_.wvu.FilterData" localSheetId="2" hidden="1">'CONSOLIDADO DE INCIDENCIAS'!$A$78:$M$249</definedName>
    <definedName name="Z_572EF3AC_D508_4E63_B67A_DDBAEF024046_.wvu.FilterData" localSheetId="2" hidden="1">'CONSOLIDADO DE INCIDENCIAS'!$A$1:$AC$249</definedName>
    <definedName name="Z_5A77D55B_90AE_46C6_8056_00D7E95E5C7B_.wvu.FilterData" localSheetId="2" hidden="1">'CONSOLIDADO DE INCIDENCIAS'!$A$1:$AC$249</definedName>
    <definedName name="Z_61093876_A7FA_4A91_B12D_271A029B9412_.wvu.FilterData" localSheetId="2" hidden="1">'CONSOLIDADO DE INCIDENCIAS'!$A$78:$AB$249</definedName>
    <definedName name="Z_62ECBD26_DE1A_4178_9982_7FCE8B05620C_.wvu.FilterData" localSheetId="2" hidden="1">'CONSOLIDADO DE INCIDENCIAS'!$A$1:$AH$249</definedName>
    <definedName name="Z_636C691A_F644_47E2_8555_F838B7CB08FD_.wvu.FilterData" localSheetId="2" hidden="1">'CONSOLIDADO DE INCIDENCIAS'!$A$78:$AH$249</definedName>
    <definedName name="Z_664F371B_425E_46AA_A6B6_0A01DAFDE9D6_.wvu.FilterData" localSheetId="2" hidden="1">'CONSOLIDADO DE INCIDENCIAS'!$A$1:$AC$249</definedName>
    <definedName name="Z_7072D0E9_A8EB_4832_9DAA_09BCD4B1F142_.wvu.FilterData" localSheetId="2" hidden="1">'CONSOLIDADO DE INCIDENCIAS'!$A$78:$AB$249</definedName>
    <definedName name="Z_7187F25A_3EAF_42F1_AF8C_E58536792040_.wvu.FilterData" localSheetId="2" hidden="1">'CONSOLIDADO DE INCIDENCIAS'!$A$78:$AH$249</definedName>
    <definedName name="Z_71E9F136_BF55_4DE1_A35E_D0AE3E2D9B40_.wvu.FilterData" localSheetId="2" hidden="1">'CONSOLIDADO DE INCIDENCIAS'!$A$78:$AB$249</definedName>
    <definedName name="Z_7268DF11_EDD6_4B5B_BEC2_3DBDCD87AE74_.wvu.FilterData" localSheetId="2" hidden="1">'CONSOLIDADO DE INCIDENCIAS'!$AE$82</definedName>
    <definedName name="Z_7272C260_9D42_4FE7_AF5C_17DA2E6B1E3E_.wvu.FilterData" localSheetId="2" hidden="1">'CONSOLIDADO DE INCIDENCIAS'!$A$78:$M$249</definedName>
    <definedName name="Z_7284F595_B615_41DE_95E5_376C6CD6673F_.wvu.FilterData" localSheetId="2" hidden="1">'CONSOLIDADO DE INCIDENCIAS'!$A$78:$V$249</definedName>
    <definedName name="Z_75DACD84_E730_4FC8_9D84_6613B9F79DE4_.wvu.FilterData" localSheetId="2" hidden="1">'CONSOLIDADO DE INCIDENCIAS'!$A$78:$M$249</definedName>
    <definedName name="Z_78CA7D74_30CA_41F1_880F_D684FB45076B_.wvu.FilterData" localSheetId="2" hidden="1">'CONSOLIDADO DE INCIDENCIAS'!$B$86:$B$249</definedName>
    <definedName name="Z_7999E4B6_7D61_4AE0_ADF5_8A0A393A3158_.wvu.FilterData" localSheetId="2" hidden="1">'CONSOLIDADO DE INCIDENCIAS'!$A$1:$V$249</definedName>
    <definedName name="Z_7AB1E8AC_40AE_4C5C_9BDA_456DF484F5AC_.wvu.FilterData" localSheetId="2" hidden="1">'CONSOLIDADO DE INCIDENCIAS'!$A$78:$V$249</definedName>
    <definedName name="Z_7B5A7FEB_38C1_498D_A92D_CA397ABBAD58_.wvu.FilterData" localSheetId="2" hidden="1">'CONSOLIDADO DE INCIDENCIAS'!$A$78:$V$249</definedName>
    <definedName name="Z_7B675507_1C76_4C97_874C_76A779B09CAB_.wvu.FilterData" localSheetId="2" hidden="1">'CONSOLIDADO DE INCIDENCIAS'!$A$78:$V$249</definedName>
    <definedName name="Z_7D8F2336_9D3F_44C1_A24E_157AED1D31FC_.wvu.FilterData" localSheetId="2" hidden="1">'CONSOLIDADO DE INCIDENCIAS'!$A$78:$AB$249</definedName>
    <definedName name="Z_7F04ED7C_AC49_46EC_B849_703F10341C5D_.wvu.FilterData" localSheetId="2" hidden="1">'CONSOLIDADO DE INCIDENCIAS'!$A$1:$AA$79</definedName>
    <definedName name="Z_82E21F95_1658_417F_B1CA_2512C9DA8B72_.wvu.FilterData" localSheetId="2" hidden="1">'CONSOLIDADO DE INCIDENCIAS'!$A$78:$V$249</definedName>
    <definedName name="Z_8C3FD059_87C2_4AB8_A9B1_8503339D2B25_.wvu.FilterData" localSheetId="2" hidden="1">'CONSOLIDADO DE INCIDENCIAS'!$A$1:$AC$249</definedName>
    <definedName name="Z_8D8AE14E_EC20_440C_9C39_5BEA7CF5A04F_.wvu.FilterData" localSheetId="2" hidden="1">'CONSOLIDADO DE INCIDENCIAS'!$A$78:$O$92</definedName>
    <definedName name="Z_9153D549_821F_4323_ACFA_AD887DB51096_.wvu.FilterData" localSheetId="2" hidden="1">'CONSOLIDADO DE INCIDENCIAS'!$A$78:$M$249</definedName>
    <definedName name="Z_93ECD254_DE4D_4685_A725_C03982E2F41A_.wvu.FilterData" localSheetId="2" hidden="1">'CONSOLIDADO DE INCIDENCIAS'!$A$1:$AC$249</definedName>
    <definedName name="Z_941495F1_D6A5_472F_BEB0_6902BA9F7689_.wvu.FilterData" localSheetId="2" hidden="1">'CONSOLIDADO DE INCIDENCIAS'!$Y$1:$AC$17</definedName>
    <definedName name="Z_9606A4B3_1BC0_452F_883A_4EF796C71F74_.wvu.FilterData" localSheetId="2" hidden="1">'CONSOLIDADO DE INCIDENCIAS'!$A$1:$V$249</definedName>
    <definedName name="Z_971C5F02_9B1E_485C_B1A9_90404A374CF4_.wvu.FilterData" localSheetId="2" hidden="1">'CONSOLIDADO DE INCIDENCIAS'!$A$78:$M$249</definedName>
    <definedName name="Z_995C7FF4_C7C2_4A76_ADCF_BBE4ED920ED4_.wvu.FilterData" localSheetId="2" hidden="1">'CONSOLIDADO DE INCIDENCIAS'!$A$1:$M$249</definedName>
    <definedName name="Z_9AB29BC3_9A36_4807_9E18_226781CBDA38_.wvu.FilterData" localSheetId="2" hidden="1">'CONSOLIDADO DE INCIDENCIAS'!$A$78:$T$249</definedName>
    <definedName name="Z_9B1F8FA7_7628_4886_B11B_BEDED8C7DBA6_.wvu.FilterData" localSheetId="2" hidden="1">'CONSOLIDADO DE INCIDENCIAS'!$A$1:$M$249</definedName>
    <definedName name="Z_9CEF5B33_7819_45EA_942F_F973A16B062D_.wvu.FilterData" localSheetId="2" hidden="1">'CONSOLIDADO DE INCIDENCIAS'!$A$78:$M$249</definedName>
    <definedName name="Z_9F75FFB3_F1FD_4974_A8B3_7EA947D02A33_.wvu.FilterData" localSheetId="2" hidden="1">'CONSOLIDADO DE INCIDENCIAS'!$A$78:$V$249</definedName>
    <definedName name="Z_A50EDA5E_0A24_4646_BCC0_46E1AF7647AA_.wvu.FilterData" localSheetId="2" hidden="1">'CONSOLIDADO DE INCIDENCIAS'!$A$1:$AC$249</definedName>
    <definedName name="Z_A6288929_3BB3_40B5_902C_6E713599D7AE_.wvu.FilterData" localSheetId="2" hidden="1">'CONSOLIDADO DE INCIDENCIAS'!$A$1:$M$249</definedName>
    <definedName name="Z_AC42C643_2221_4965_AFA1_3F2281718069_.wvu.FilterData" localSheetId="2" hidden="1">'CONSOLIDADO DE INCIDENCIAS'!$A$78:$V$249</definedName>
    <definedName name="Z_AE376600_0DC7_44D2_94B2_2029C1D5E558_.wvu.FilterData" localSheetId="2" hidden="1">'CONSOLIDADO DE INCIDENCIAS'!$A$78:$V$249</definedName>
    <definedName name="Z_AE630A8F_EC20_43C5_8552_981385AA5F99_.wvu.FilterData" localSheetId="2" hidden="1">'CONSOLIDADO DE INCIDENCIAS'!$A$78:$T$249</definedName>
    <definedName name="Z_AF9F4FD4_CE6A_484A_BC37_B88B387A0E76_.wvu.FilterData" localSheetId="2" hidden="1">'CONSOLIDADO DE INCIDENCIAS'!$A$78:$M$249</definedName>
    <definedName name="Z_B162741D_8425_4252_BBD0_02C84E11E10D_.wvu.FilterData" localSheetId="2" hidden="1">'CONSOLIDADO DE INCIDENCIAS'!$A$1:$M$249</definedName>
    <definedName name="Z_B29F5A3D_C1CC_4C01_9094_3ED83635FF7A_.wvu.FilterData" localSheetId="2" hidden="1">'CONSOLIDADO DE INCIDENCIAS'!$W$78:$W$249</definedName>
    <definedName name="Z_B3EB6E87_762C_4DA1_9D1A_2D48EB032761_.wvu.FilterData" localSheetId="2" hidden="1">'CONSOLIDADO DE INCIDENCIAS'!$A$1:$AC$249</definedName>
    <definedName name="Z_B4306AB6_087F_4D43_854C_29674B567631_.wvu.FilterData" localSheetId="2" hidden="1">'CONSOLIDADO DE INCIDENCIAS'!$A$78:$AC$249</definedName>
    <definedName name="Z_B5E4F1A3_A1CE_4A78_A686_68FB57442A81_.wvu.FilterData" localSheetId="2" hidden="1">'CONSOLIDADO DE INCIDENCIAS'!$A$1:$AC$249</definedName>
    <definedName name="Z_B7459739_FF7B_43B3_B250_0DCF8416E401_.wvu.FilterData" localSheetId="2" hidden="1">'CONSOLIDADO DE INCIDENCIAS'!$A$78:$O$92</definedName>
    <definedName name="Z_B92DDE69_5E88_447B_AC8C_54227A5354D3_.wvu.FilterData" localSheetId="2" hidden="1">'CONSOLIDADO DE INCIDENCIAS'!$A$1:$AC$249</definedName>
    <definedName name="Z_B98AFEF4_BC2B_43A3_A2BA_F6114E6C2754_.wvu.FilterData" localSheetId="2" hidden="1">'CONSOLIDADO DE INCIDENCIAS'!$A$78:$T$249</definedName>
    <definedName name="Z_BB3A72A8_536B_4CEE_983B_3B1064B08189_.wvu.FilterData" localSheetId="2" hidden="1">'CONSOLIDADO DE INCIDENCIAS'!$T$78:$T$82</definedName>
    <definedName name="Z_BD7589DB_E533_4290_9606_AA69C7E4348C_.wvu.FilterData" localSheetId="2" hidden="1">'CONSOLIDADO DE INCIDENCIAS'!$A$78:$T$249</definedName>
    <definedName name="Z_BE65F6DD_399B_428E_BB3F_BCC96056DA57_.wvu.FilterData" localSheetId="2" hidden="1">'CONSOLIDADO DE INCIDENCIAS'!$A$1:$AH$249</definedName>
    <definedName name="Z_BF854CA7_F810_481B_96CA_127EB201C988_.wvu.FilterData" localSheetId="2" hidden="1">'CONSOLIDADO DE INCIDENCIAS'!$A$1:$V$249</definedName>
    <definedName name="Z_BFAD60BA_8618_4F78_92CE_83AE13F01A3B_.wvu.FilterData" localSheetId="2" hidden="1">'CONSOLIDADO DE INCIDENCIAS'!$A$1:$AC$249</definedName>
    <definedName name="Z_C2A4986B_5443_45E6_8E03_D7BBADA51C58_.wvu.FilterData" localSheetId="2" hidden="1">'CONSOLIDADO DE INCIDENCIAS'!$A$1:$AC$249</definedName>
    <definedName name="Z_C45F2CFE_D13D_411A_9969_62D37A4E659F_.wvu.FilterData" localSheetId="2" hidden="1">'CONSOLIDADO DE INCIDENCIAS'!$A$78:$T$249</definedName>
    <definedName name="Z_C6442E6F_776E_4212_847E_94DFDDF97E9C_.wvu.FilterData" localSheetId="2" hidden="1">'CONSOLIDADO DE INCIDENCIAS'!$A$78:$AH$249</definedName>
    <definedName name="Z_C64B538E_0962_4D5E_86E4_16DF91F67BB6_.wvu.FilterData" localSheetId="2" hidden="1">'CONSOLIDADO DE INCIDENCIAS'!$A$1:$AC$249</definedName>
    <definedName name="Z_C70E7553_7B63_426F_B13E_9BC43B57B462_.wvu.FilterData" localSheetId="2" hidden="1">'CONSOLIDADO DE INCIDENCIAS'!$A$1:$M$249</definedName>
    <definedName name="Z_C798109D_4604_4BCB_A03A_1A0B5730EEEA_.wvu.FilterData" localSheetId="2" hidden="1">'CONSOLIDADO DE INCIDENCIAS'!$A$1:$M$249</definedName>
    <definedName name="Z_CBE06436_1786_4100_8240_33A03D6341BB_.wvu.FilterData" localSheetId="2" hidden="1">'CONSOLIDADO DE INCIDENCIAS'!$A$1:$AC$249</definedName>
    <definedName name="Z_CC605D33_8F51_41B7_B31E_1B663A0C1CB8_.wvu.FilterData" localSheetId="2" hidden="1">'CONSOLIDADO DE INCIDENCIAS'!$A$78:$AB$249</definedName>
    <definedName name="Z_CE3CA79F_69BA_4F2C_8654_49489E9F990B_.wvu.FilterData" localSheetId="2" hidden="1">'CONSOLIDADO DE INCIDENCIAS'!$A$78:$AB$249</definedName>
    <definedName name="Z_D01923C6_A7EE_408C_833F_D29461704E70_.wvu.FilterData" localSheetId="2" hidden="1">'CONSOLIDADO DE INCIDENCIAS'!$W$249</definedName>
    <definedName name="Z_D032A9DB_4E25_40E7_ADF5_F6638E51FAFB_.wvu.FilterData" localSheetId="2" hidden="1">'CONSOLIDADO DE INCIDENCIAS'!$A$78:$T$249</definedName>
    <definedName name="Z_D1C575F5_1C84_4676_BF56_DBF11A7D392C_.wvu.FilterData" localSheetId="2" hidden="1">'CONSOLIDADO DE INCIDENCIAS'!$A$93:$X$249</definedName>
    <definedName name="Z_D244C322_20DC_49ED_91F3_CD1DE6B82879_.wvu.FilterData" localSheetId="2" hidden="1">'CONSOLIDADO DE INCIDENCIAS'!$A$78:$M$249</definedName>
    <definedName name="Z_D64303A7_008D_42DE_93C7_A25CF311B806_.wvu.FilterData" localSheetId="2" hidden="1">'CONSOLIDADO DE INCIDENCIAS'!$A$1:$V$249</definedName>
    <definedName name="Z_D7718746_2F54_4DFE_A769_D6472F3E6C0B_.wvu.FilterData" localSheetId="2" hidden="1">'CONSOLIDADO DE INCIDENCIAS'!$A$78:$AC$249</definedName>
    <definedName name="Z_D84CEC73_EE9D_4C60_BD3C_7ADE6B8942A3_.wvu.FilterData" localSheetId="2" hidden="1">'CONSOLIDADO DE INCIDENCIAS'!$A$1:$V$249</definedName>
    <definedName name="Z_D882DDE6_CE72_4198_BF6E_8949ECE51BD4_.wvu.FilterData" localSheetId="2" hidden="1">'CONSOLIDADO DE INCIDENCIAS'!$A$1:$M$249</definedName>
    <definedName name="Z_D8B6EA5F_A187_41FE_BB79_4E0A24DC82A6_.wvu.FilterData" localSheetId="2" hidden="1">'CONSOLIDADO DE INCIDENCIAS'!$A$1:$AC$249</definedName>
    <definedName name="Z_DB1FD483_6838_44DA_8553_3FBA6168CA60_.wvu.FilterData" localSheetId="2" hidden="1">'CONSOLIDADO DE INCIDENCIAS'!$A$78:$V$249</definedName>
    <definedName name="Z_DD03F7C5_881E_47D5_B147_00CDBDABBB1C_.wvu.FilterData" localSheetId="2" hidden="1">'CONSOLIDADO DE INCIDENCIAS'!$W$78:$W$249</definedName>
    <definedName name="Z_DF0CDE49_DB4F_4350_80A8_21AFE39CC53C_.wvu.FilterData" localSheetId="2" hidden="1">'CONSOLIDADO DE INCIDENCIAS'!$A$1:$AC$249</definedName>
    <definedName name="Z_E04BCF6F_DFDA_4386_A429_D8C54A0A8221_.wvu.FilterData" localSheetId="2" hidden="1">'CONSOLIDADO DE INCIDENCIAS'!$A$78:$M$249</definedName>
    <definedName name="Z_E1BBFA9A_8080_46FE_A961_BB23E161865A_.wvu.FilterData" localSheetId="2" hidden="1">'CONSOLIDADO DE INCIDENCIAS'!$W$78:$W$249</definedName>
    <definedName name="Z_E420F5C5_FA1C_45D4_85B1_40E41CD771D9_.wvu.FilterData" localSheetId="2" hidden="1">'CONSOLIDADO DE INCIDENCIAS'!$A$78:$O$249</definedName>
    <definedName name="Z_E44B98C0_844E_4F9B_B0CA_59B94217FA6D_.wvu.FilterData" localSheetId="2" hidden="1">'CONSOLIDADO DE INCIDENCIAS'!$A$1:$AC$249</definedName>
    <definedName name="Z_EA83768B_FD5D_4C67_B984_7D21B1EE700F_.wvu.FilterData" localSheetId="2" hidden="1">'CONSOLIDADO DE INCIDENCIAS'!$A$78:$AB$249</definedName>
    <definedName name="Z_F104EDCA_16C9_4782_BD8E_4BA1260CBFFE_.wvu.FilterData" localSheetId="2" hidden="1">'CONSOLIDADO DE INCIDENCIAS'!$A$1:$V$249</definedName>
    <definedName name="Z_F26DA7BC_EBF9_48D6_AD40_3714AF19063A_.wvu.FilterData" localSheetId="2" hidden="1">'CONSOLIDADO DE INCIDENCIAS'!$A$78:$V$92</definedName>
    <definedName name="Z_F56FB6B3_F666_4AA5_BA7D_7DC37E308C2C_.wvu.FilterData" localSheetId="2" hidden="1">'CONSOLIDADO DE INCIDENCIAS'!$A$78:$T$249</definedName>
    <definedName name="Z_F5B0A4A1_1151_497C_8044_D5F67182BB6B_.wvu.FilterData" localSheetId="2" hidden="1">'CONSOLIDADO DE INCIDENCIAS'!$B$86:$B$249</definedName>
    <definedName name="Z_F7CC633A_5F52_46D7_BDDD_28A7BEC85582_.wvu.FilterData" localSheetId="2" hidden="1">'CONSOLIDADO DE INCIDENCIAS'!$A$78:$AC$249</definedName>
    <definedName name="Z_F7E8F26E_8764_4FA2_A2A3_DA3698DA687E_.wvu.FilterData" localSheetId="2" hidden="1">'CONSOLIDADO DE INCIDENCIAS'!$Y$78:$AA$79</definedName>
    <definedName name="Z_F9DE771A_18A2_4404_962B_2DD44CB4E30D_.wvu.FilterData" localSheetId="2" hidden="1">'CONSOLIDADO DE INCIDENCIAS'!$A$78:$O$92</definedName>
    <definedName name="Z_FAEF2C7F_3C68_45C7_AFF8_3A03981A467E_.wvu.FilterData" localSheetId="2" hidden="1">'CONSOLIDADO DE INCIDENCIAS'!$A$1:$AH$249</definedName>
  </definedNames>
  <calcPr calcId="181029"/>
  <customWorkbookViews>
    <customWorkbookView name="Filter 26" guid="{7B5A7FEB-38C1-498D-A92D-CA397ABBAD58}" maximized="1" windowWidth="0" windowHeight="0" activeSheetId="0"/>
    <customWorkbookView name="CUS-27" guid="{7187F25A-3EAF-42F1-AF8C-E58536792040}" maximized="1" windowWidth="0" windowHeight="0" activeSheetId="0"/>
    <customWorkbookView name="Filter 95" guid="{F7CC633A-5F52-46D7-BDDD-28A7BEC85582}" maximized="1" windowWidth="0" windowHeight="0" activeSheetId="0"/>
    <customWorkbookView name="Filter 54" guid="{181AD504-66D9-4767-A682-83F62E4814B8}" maximized="1" windowWidth="0" windowHeight="0" activeSheetId="0"/>
    <customWorkbookView name="Filter 49" guid="{971C5F02-9B1E-485C-B1A9-90404A374CF4}" maximized="1" windowWidth="0" windowHeight="0" activeSheetId="0"/>
    <customWorkbookView name="Filter 88" guid="{16E4E86E-1438-468A-A344-51769E38771E}" maximized="1" windowWidth="0" windowHeight="0" activeSheetId="0"/>
    <customWorkbookView name="Filter 81" guid="{0D6C0055-A8FD-46C4-B2B7-CE5CC0B77CA1}" maximized="1" windowWidth="0" windowHeight="0" activeSheetId="0"/>
    <customWorkbookView name="Filter 74" guid="{2616F909-F6A8-4875-92F1-7489011979BE}" maximized="1" windowWidth="0" windowHeight="0" activeSheetId="0"/>
    <customWorkbookView name="Filter 100" guid="{DF0CDE49-DB4F-4350-80A8-21AFE39CC53C}" maximized="1" windowWidth="0" windowHeight="0" activeSheetId="0"/>
    <customWorkbookView name="Filter 66" guid="{D01923C6-A7EE-408C-833F-D29461704E70}" maximized="1" windowWidth="0" windowHeight="0" activeSheetId="0"/>
    <customWorkbookView name="Filter 109" guid="{09E5EA25-4EA2-495A-8983-EE3B02D31F2C}" maximized="1" windowWidth="0" windowHeight="0" activeSheetId="0"/>
    <customWorkbookView name="Filter 77" guid="{14B5872E-AC42-46F2-A978-C2125F6F2A00}" maximized="1" windowWidth="0" windowHeight="0" activeSheetId="0"/>
    <customWorkbookView name="Filter 76" guid="{636C691A-F644-47E2-8555-F838B7CB08FD}" maximized="1" windowWidth="0" windowHeight="0" activeSheetId="0"/>
    <customWorkbookView name="Filter 33" guid="{AC42C643-2221-4965-AFA1-3F2281718069}" maximized="1" windowWidth="0" windowHeight="0" activeSheetId="0"/>
    <customWorkbookView name="Filter 28" guid="{5727B7AE-53CF-47FC-A192-2FFE798B15CD}" maximized="1" windowWidth="0" windowHeight="0" activeSheetId="0"/>
    <customWorkbookView name="Filter 36" guid="{9F75FFB3-F1FD-4974-A8B3-7EA947D02A33}" maximized="1" windowWidth="0" windowHeight="0" activeSheetId="0"/>
    <customWorkbookView name="Filter 51" guid="{7D8F2336-9D3F-44C1-A24E-157AED1D31FC}" maximized="1" windowWidth="0" windowHeight="0" activeSheetId="0"/>
    <customWorkbookView name="Filter 99" guid="{207366EA-06E5-4A7A-A8D5-930D94B44938}" maximized="1" windowWidth="0" windowHeight="0" activeSheetId="0"/>
    <customWorkbookView name="Filter 46" guid="{C6442E6F-776E-4212-847E-94DFDDF97E9C}" maximized="1" windowWidth="0" windowHeight="0" activeSheetId="0"/>
    <customWorkbookView name="Filter 141" guid="{46F690DE-B704-4543-ADDC-843710AE2022}" maximized="1" windowWidth="0" windowHeight="0" activeSheetId="0"/>
    <customWorkbookView name="Filtro 4" guid="{399CA99F-CCAB-41B7-A86F-4A8915850AD8}" maximized="1" windowWidth="0" windowHeight="0" activeSheetId="0"/>
    <customWorkbookView name="Filter 108" guid="{D64303A7-008D-42DE-93C7-A25CF311B806}" maximized="1" windowWidth="0" windowHeight="0" activeSheetId="0"/>
    <customWorkbookView name="Filter 96" guid="{FAEF2C7F-3C68-45C7-AFF8-3A03981A467E}" maximized="1" windowWidth="0" windowHeight="0" activeSheetId="0"/>
    <customWorkbookView name="Filter 117" guid="{C64B538E-0962-4D5E-86E4-16DF91F67BB6}" maximized="1" windowWidth="0" windowHeight="0" activeSheetId="0"/>
    <customWorkbookView name="Filter 41" guid="{0F4A1A03-8A66-493D-AD63-B9D2D2F331E5}" maximized="1" windowWidth="0" windowHeight="0" activeSheetId="0"/>
    <customWorkbookView name="Filter 121" guid="{0664A433-8342-47CF-996F-52A146D92FFA}" maximized="1" windowWidth="0" windowHeight="0" activeSheetId="0"/>
    <customWorkbookView name="Filter 15" guid="{F56FB6B3-F666-4AA5-BA7D-7DC37E308C2C}" maximized="1" windowWidth="0" windowHeight="0" activeSheetId="0"/>
    <customWorkbookView name="Filter 123" guid="{3975D1DF-8296-445E-A42B-725F6FF47E60}" maximized="1" windowWidth="0" windowHeight="0" activeSheetId="0"/>
    <customWorkbookView name="Filtro 3" guid="{A6288929-3BB3-40B5-902C-6E713599D7AE}" maximized="1" windowWidth="0" windowHeight="0" activeSheetId="0"/>
    <customWorkbookView name="Filter 72" guid="{128F9D38-1393-4A5A-8793-FA346A5557C6}" maximized="1" windowWidth="0" windowHeight="0" activeSheetId="0"/>
    <customWorkbookView name="Filter 6" guid="{AE630A8F-EC20-43C5-8552-981385AA5F99}" maximized="1" windowWidth="0" windowHeight="0" activeSheetId="0"/>
    <customWorkbookView name="Filter 64" guid="{EA83768B-FD5D-4C67-B984-7D21B1EE700F}" maximized="1" windowWidth="0" windowHeight="0" activeSheetId="0"/>
    <customWorkbookView name="Filter 87" guid="{E420F5C5-FA1C-45D4-85B1-40E41CD771D9}" maximized="1" windowWidth="0" windowHeight="0" activeSheetId="0"/>
    <customWorkbookView name="Filter 65" guid="{7072D0E9-A8EB-4832-9DAA-09BCD4B1F142}" maximized="1" windowWidth="0" windowHeight="0" activeSheetId="0"/>
    <customWorkbookView name="Filter 140" guid="{D882DDE6-CE72-4198-BF6E-8949ECE51BD4}" maximized="1" windowWidth="0" windowHeight="0" activeSheetId="0"/>
    <customWorkbookView name="Filter 136" guid="{3785B557-4AE9-4AF6-A2C2-13FE9E0136EA}" maximized="1" windowWidth="0" windowHeight="0" activeSheetId="0"/>
    <customWorkbookView name="Filter 56" guid="{CC605D33-8F51-41B7-B31E-1B663A0C1CB8}" maximized="1" windowWidth="0" windowHeight="0" activeSheetId="0"/>
    <customWorkbookView name="Filter 125" guid="{93ECD254-DE4D-4685-A725-C03982E2F41A}" maximized="1" windowWidth="0" windowHeight="0" activeSheetId="0"/>
    <customWorkbookView name="Filter 5" guid="{AF9F4FD4-CE6A-484A-BC37-B88B387A0E76}" maximized="1" windowWidth="0" windowHeight="0" activeSheetId="0"/>
    <customWorkbookView name="Filter 53" guid="{1A99267A-0283-4461-BF75-71DA22AC7D08}" maximized="1" windowWidth="0" windowHeight="0" activeSheetId="0"/>
    <customWorkbookView name="Filter 101" guid="{A50EDA5E-0A24-4646-BCC0-46E1AF7647AA}" maximized="1" windowWidth="0" windowHeight="0" activeSheetId="0"/>
    <customWorkbookView name="Filter 115" guid="{664F371B-425E-46AA-A6B6-0A01DAFDE9D6}" maximized="1" windowWidth="0" windowHeight="0" activeSheetId="0"/>
    <customWorkbookView name="Filter 57" guid="{CE3CA79F-69BA-4F2C-8654-49489E9F990B}" maximized="1" windowWidth="0" windowHeight="0" activeSheetId="0"/>
    <customWorkbookView name="Filter 130" guid="{D8B6EA5F-A187-41FE-BB79-4E0A24DC82A6}" maximized="1" windowWidth="0" windowHeight="0" activeSheetId="0"/>
    <customWorkbookView name="Filter 63" guid="{09C98F4F-9DB4-46CA-B54D-4A2995F0F31F}" maximized="1" windowWidth="0" windowHeight="0" activeSheetId="0"/>
    <customWorkbookView name="Filter 98" guid="{B5E4F1A3-A1CE-4A78-A686-68FB57442A81}" maximized="1" windowWidth="0" windowHeight="0" activeSheetId="0"/>
    <customWorkbookView name="Filter 52" guid="{1C8DE838-11D6-4F8D-A300-0436111F4A12}" maximized="1" windowWidth="0" windowHeight="0" activeSheetId="0"/>
    <customWorkbookView name="Filter 62" guid="{031DCFBF-D9DE-47C6-9728-A245B3E32D0E}" maximized="1" windowWidth="0" windowHeight="0" activeSheetId="0"/>
    <customWorkbookView name="Filter 12" guid="{D032A9DB-4E25-40E7-ADF5-F6638E51FAFB}" maximized="1" windowWidth="0" windowHeight="0" activeSheetId="0"/>
    <customWorkbookView name="Filter 120" guid="{8C3FD059-87C2-4AB8-A9B1-8503339D2B25}" maximized="1" windowWidth="0" windowHeight="0" activeSheetId="0"/>
    <customWorkbookView name="Filter 27" guid="{16F4301D-B836-42F7-8020-2803956B914A}" maximized="1" windowWidth="0" windowHeight="0" activeSheetId="0"/>
    <customWorkbookView name="Filter 111" guid="{D84CEC73-EE9D-4C60-BD3C-7ADE6B8942A3}" maximized="1" windowWidth="0" windowHeight="0" activeSheetId="0"/>
    <customWorkbookView name="Filter 142" guid="{33F92E74-8D12-4DBD-BE96-35943AA5CB92}" maximized="1" windowWidth="0" windowHeight="0" activeSheetId="0"/>
    <customWorkbookView name="Filter 21" guid="{7AB1E8AC-40AE-4C5C-9BDA-456DF484F5AC}" maximized="1" windowWidth="0" windowHeight="0" activeSheetId="0"/>
    <customWorkbookView name="Filter 17" guid="{9AB29BC3-9A36-4807-9E18-226781CBDA38}" maximized="1" windowWidth="0" windowHeight="0" activeSheetId="0"/>
    <customWorkbookView name="Filter 50" guid="{61093876-A7FA-4A91-B12D-271A029B9412}" maximized="1" windowWidth="0" windowHeight="0" activeSheetId="0"/>
    <customWorkbookView name="Filter 139" guid="{E44B98C0-844E-4F9B-B0CA-59B94217FA6D}" maximized="1" windowWidth="0" windowHeight="0" activeSheetId="0"/>
    <customWorkbookView name="Filtro 6" guid="{7F04ED7C-AC49-46EC-B849-703F10341C5D}" maximized="1" windowWidth="0" windowHeight="0" activeSheetId="0"/>
    <customWorkbookView name="Filter 134" guid="{C70E7553-7B63-426F-B13E-9BC43B57B462}" maximized="1" windowWidth="0" windowHeight="0" activeSheetId="0"/>
    <customWorkbookView name="Filter 106" guid="{B92DDE69-5E88-447B-AC8C-54227A5354D3}" maximized="1" windowWidth="0" windowHeight="0" activeSheetId="0"/>
    <customWorkbookView name="Filter 23" guid="{82E21F95-1658-417F-B1CA-2512C9DA8B72}" maximized="1" windowWidth="0" windowHeight="0" activeSheetId="0"/>
    <customWorkbookView name="Filter 29" guid="{5371A75B-87E1-4B09-A057-556485EA8892}" maximized="1" windowWidth="0" windowHeight="0" activeSheetId="0"/>
    <customWorkbookView name="Filter 92" guid="{1012F98C-3763-4EDE-B5D5-20FE546E5D46}" maximized="1" windowWidth="0" windowHeight="0" activeSheetId="0"/>
    <customWorkbookView name="Filter 8" guid="{1A78E216-AD46-44A0-9060-262F73619572}" maximized="1" windowWidth="0" windowHeight="0" activeSheetId="0"/>
    <customWorkbookView name="Filter 127" guid="{B3EB6E87-762C-4DA1-9D1A-2D48EB032761}" maximized="1" windowWidth="0" windowHeight="0" activeSheetId="0"/>
    <customWorkbookView name="Filter 135" guid="{CBE06436-1786-4100-8240-33A03D6341BB}" maximized="1" windowWidth="0" windowHeight="0" activeSheetId="0"/>
    <customWorkbookView name="Filter 114" guid="{276671E9-83F3-4274-8123-98123DFEA35E}" maximized="1" windowWidth="0" windowHeight="0" activeSheetId="0"/>
    <customWorkbookView name="Filter 3" guid="{B98AFEF4-BC2B-43A3-A2BA-F6114E6C2754}" maximized="1" windowWidth="0" windowHeight="0" activeSheetId="0"/>
    <customWorkbookView name="Filter 69" guid="{D1C575F5-1C84-4676-BF56-DBF11A7D392C}" maximized="1" windowWidth="0" windowHeight="0" activeSheetId="0"/>
    <customWorkbookView name="Filter 110" guid="{0D3440E2-FC27-4522-BB39-DF9F0B4D5D72}" maximized="1" windowWidth="0" windowHeight="0" activeSheetId="0"/>
    <customWorkbookView name="Filter JVF" guid="{E04BCF6F-DFDA-4386-A429-D8C54A0A8221}" maximized="1" windowWidth="0" windowHeight="0" activeSheetId="0"/>
    <customWorkbookView name="Filter 13" guid="{1E107AD8-4A76-44CE-A9E1-AC0B663F3D7A}" maximized="1" windowWidth="0" windowHeight="0" activeSheetId="0"/>
    <customWorkbookView name="Filtro 5" guid="{35895A84-4FC6-4B15-A2A8-F8E79622C3D5}" maximized="1" windowWidth="0" windowHeight="0" activeSheetId="0"/>
    <customWorkbookView name="Filter 104" guid="{B162741D-8425-4252-BBD0-02C84E11E10D}" maximized="1" windowWidth="0" windowHeight="0" activeSheetId="0"/>
    <customWorkbookView name="Filtro 1" guid="{4C23C600-26F2-4062-8D06-D7DF755CD599}" maximized="1" windowWidth="0" windowHeight="0" activeSheetId="0"/>
    <customWorkbookView name="Filter 112" guid="{BF854CA7-F810-481B-96CA-127EB201C988}" maximized="1" windowWidth="0" windowHeight="0" activeSheetId="0"/>
    <customWorkbookView name="Filter 25" guid="{7284F595-B615-41DE-95E5-376C6CD6673F}" maximized="1" windowWidth="0" windowHeight="0" activeSheetId="0"/>
    <customWorkbookView name="Filter 119" guid="{941495F1-D6A5-472F-BEB0-6902BA9F7689}" maximized="1" windowWidth="0" windowHeight="0" activeSheetId="0"/>
    <customWorkbookView name="Filter 55" guid="{52D82730-8101-42C2-8356-45F6C23FB072}" maximized="1" windowWidth="0" windowHeight="0" activeSheetId="0"/>
    <customWorkbookView name="Filter 122" guid="{21D3ABEC-E9B8-4B9E-B21F-3A1E35E59296}" maximized="1" windowWidth="0" windowHeight="0" activeSheetId="0"/>
    <customWorkbookView name="Filter 116" guid="{05F2F1B6-41D6-4FE2-8B6F-005B78715AF3}" maximized="1" windowWidth="0" windowHeight="0" activeSheetId="0"/>
    <customWorkbookView name="Filter 97" guid="{26BE083E-F813-43CD-8080-176AC71EC6B1}" maximized="1" windowWidth="0" windowHeight="0" activeSheetId="0"/>
    <customWorkbookView name="Filter 42" guid="{71E9F136-BF55-4DE1-A35E-D0AE3E2D9B40}" maximized="1" windowWidth="0" windowHeight="0" activeSheetId="0"/>
    <customWorkbookView name="Filter 19" guid="{15081274-07BD-4195-B8A0-FEF6F2D55112}" maximized="1" windowWidth="0" windowHeight="0" activeSheetId="0"/>
    <customWorkbookView name="Filter 128" guid="{C2A4986B-5443-45E6-8E03-D7BBADA51C58}" maximized="1" windowWidth="0" windowHeight="0" activeSheetId="0"/>
    <customWorkbookView name="Filter 103" guid="{083EE738-64D6-4E61-826A-8DE1537EB8D2}" maximized="1" windowWidth="0" windowHeight="0" activeSheetId="0"/>
    <customWorkbookView name="Filter 107" guid="{4693FF95-89F1-49D1-A143-D590B5504BB9}" maximized="1" windowWidth="0" windowHeight="0" activeSheetId="0"/>
    <customWorkbookView name="Filter 118" guid="{9606A4B3-1BC0-452F-883A-4EF796C71F74}" maximized="1" windowWidth="0" windowHeight="0" activeSheetId="0"/>
    <customWorkbookView name="Filter 45" guid="{7272C260-9D42-4FE7-AF5C-17DA2E6B1E3E}" maximized="1" windowWidth="0" windowHeight="0" activeSheetId="0"/>
    <customWorkbookView name="Filter 67" guid="{9153D549-821F-4323-ACFA-AD887DB51096}" maximized="1" windowWidth="0" windowHeight="0" activeSheetId="0"/>
    <customWorkbookView name="Filtro 2" guid="{3118B097-E2D5-4853-9ECC-4F918F82032A}" maximized="1" windowWidth="0" windowHeight="0" activeSheetId="0"/>
    <customWorkbookView name="Filter 131" guid="{5A77D55B-90AE-46C6-8056-00D7E95E5C7B}" maximized="1" windowWidth="0" windowHeight="0" activeSheetId="0"/>
    <customWorkbookView name="Filter 138" guid="{7999E4B6-7D61-4AE0-ADF5-8A0A393A3158}" maximized="1" windowWidth="0" windowHeight="0" activeSheetId="0"/>
    <customWorkbookView name="Filter 10" guid="{1FD4AC56-906D-4D4D-8534-FFCD905BEAB1}" maximized="1" windowWidth="0" windowHeight="0" activeSheetId="0"/>
    <customWorkbookView name="Filter 1" guid="{4E5EDA9F-A36F-445A-886D-3EEAB87FECC8}" maximized="1" windowWidth="0" windowHeight="0" activeSheetId="0"/>
    <customWorkbookView name="Filter 4" guid="{114F6802-2197-4322-B73A-0FC23C08550B}" maximized="1" windowWidth="0" windowHeight="0" activeSheetId="0"/>
    <customWorkbookView name="Filter 18" guid="{BD7589DB-E533-4290-9606-AA69C7E4348C}" maximized="1" windowWidth="0" windowHeight="0" activeSheetId="0"/>
    <customWorkbookView name="Filter 129" guid="{F104EDCA-16C9-4782-BD8E-4BA1260CBFFE}" maximized="1" windowWidth="0" windowHeight="0" activeSheetId="0"/>
    <customWorkbookView name="Filter 78" guid="{B4306AB6-087F-4D43-854C-29674B567631}" maximized="1" windowWidth="0" windowHeight="0" activeSheetId="0"/>
    <customWorkbookView name="Filter 35" guid="{7B675507-1C76-4C97-874C-76A779B09CAB}" maximized="1" windowWidth="0" windowHeight="0" activeSheetId="0"/>
    <customWorkbookView name="Filter 58" guid="{D244C322-20DC-49ED-91F3-CD1DE6B82879}" maximized="1" windowWidth="0" windowHeight="0" activeSheetId="0"/>
    <customWorkbookView name="Filter 105" guid="{415177D4-69C6-49B2-AC44-16824A0261AD}" maximized="1" windowWidth="0" windowHeight="0" activeSheetId="0"/>
    <customWorkbookView name="Filter 30" guid="{F7E8F26E-8764-4FA2-A2A3-DA3698DA687E}" maximized="1" windowWidth="0" windowHeight="0" activeSheetId="0"/>
    <customWorkbookView name="Filter 40" guid="{053C502E-8A07-4287-9848-FA53BEF25CDC}" maximized="1" windowWidth="0" windowHeight="0" activeSheetId="0"/>
    <customWorkbookView name="Filter 9" guid="{F5B0A4A1-1151-497C-8044-D5F67182BB6B}" maximized="1" windowWidth="0" windowHeight="0" activeSheetId="0"/>
    <customWorkbookView name="Filter 113" guid="{BFAD60BA-8618-4F78-92CE-83AE13F01A3B}" maximized="1" windowWidth="0" windowHeight="0" activeSheetId="0"/>
    <customWorkbookView name="Filter 71" guid="{F9DE771A-18A2-4404-962B-2DD44CB4E30D}" maximized="1" windowWidth="0" windowHeight="0" activeSheetId="0"/>
    <customWorkbookView name="Filter 11" guid="{78CA7D74-30CA-41F1-880F-D684FB45076B}" maximized="1" windowWidth="0" windowHeight="0" activeSheetId="0"/>
    <customWorkbookView name="Filter 39" guid="{DB1FD483-6838-44DA-8553-3FBA6168CA60}" maximized="1" windowWidth="0" windowHeight="0" activeSheetId="0"/>
    <customWorkbookView name="Filter 37" guid="{36F164B3-D871-43E5-A9AC-A6B23943FEEB}" maximized="1" windowWidth="0" windowHeight="0" activeSheetId="0"/>
    <customWorkbookView name="Filter 34" guid="{9CEF5B33-7819-45EA-942F-F973A16B062D}" maximized="1" windowWidth="0" windowHeight="0" activeSheetId="0"/>
    <customWorkbookView name="Filter 31" guid="{3CF00FDE-7551-417F-A3B7-071FB8CAD5A6}" maximized="1" windowWidth="0" windowHeight="0" activeSheetId="0"/>
    <customWorkbookView name="Filter 47" guid="{75DACD84-E730-4FC8-9D84-6613B9F79DE4}" maximized="1" windowWidth="0" windowHeight="0" activeSheetId="0"/>
    <customWorkbookView name="Filter 20" guid="{BB3A72A8-536B-4CEE-983B-3B1064B08189}" maximized="1" windowWidth="0" windowHeight="0" activeSheetId="0"/>
    <customWorkbookView name="Filter 60" guid="{DD03F7C5-881E-47D5-B147-00CDBDABBB1C}" maximized="1" windowWidth="0" windowHeight="0" activeSheetId="0"/>
    <customWorkbookView name="Filter 94" guid="{7268DF11-EDD6-4B5B-BEC2-3DBDCD87AE74}" maximized="1" windowWidth="0" windowHeight="0" activeSheetId="0"/>
    <customWorkbookView name="Filter 126" guid="{C798109D-4604-4BCB-A03A-1A0B5730EEEA}" maximized="1" windowWidth="0" windowHeight="0" activeSheetId="0"/>
    <customWorkbookView name="Filter 22" guid="{2F8F6613-367B-4DCA-AEBA-E7517ACEC861}" maximized="1" windowWidth="0" windowHeight="0" activeSheetId="0"/>
    <customWorkbookView name="Filter 124" guid="{572EF3AC-D508-4E63-B67A-DDBAEF024046}" maximized="1" windowWidth="0" windowHeight="0" activeSheetId="0"/>
    <customWorkbookView name="Filter 73" guid="{B7459739-FF7B-43B3-B250-0DCF8416E401}" maximized="1" windowWidth="0" windowHeight="0" activeSheetId="0"/>
    <customWorkbookView name="Filter 102" guid="{022B7002-BF2C-467C-94C6-2F4B1957B723}" maximized="1" windowWidth="0" windowHeight="0" activeSheetId="0"/>
    <customWorkbookView name="Filter 70" guid="{3A6B1647-FE81-4D08-93FF-8878C0A8F211}" maximized="1" windowWidth="0" windowHeight="0" activeSheetId="0"/>
    <customWorkbookView name="Katy" guid="{BE65F6DD-399B-428E-BB3F-BCC96056DA57}" maximized="1" windowWidth="0" windowHeight="0" activeSheetId="0"/>
    <customWorkbookView name="Filter 32" guid="{510F36EF-0F2F-4421-8AE2-42331185E17D}" maximized="1" windowWidth="0" windowHeight="0" activeSheetId="0"/>
    <customWorkbookView name="Filter 24" guid="{AE376600-0DC7-44D2-94B2-2029C1D5E558}" maximized="1" windowWidth="0" windowHeight="0" activeSheetId="0"/>
    <customWorkbookView name="Filter 132" guid="{995C7FF4-C7C2-4A76-ADCF-BBE4ED920ED4}" maximized="1" windowWidth="0" windowHeight="0" activeSheetId="0"/>
    <customWorkbookView name="Filter 133" guid="{9B1F8FA7-7628-4886-B11B-BEDED8C7DBA6}" maximized="1" windowWidth="0" windowHeight="0" activeSheetId="0"/>
    <customWorkbookView name="Filter 59" guid="{E1BBFA9A-8080-46FE-A961-BB23E161865A}" maximized="1" windowWidth="0" windowHeight="0" activeSheetId="0"/>
    <customWorkbookView name="Filter 137" guid="{62ECBD26-DE1A-4178-9982-7FCE8B05620C}" maximized="1" windowWidth="0" windowHeight="0" activeSheetId="0"/>
    <customWorkbookView name="Filter 2" guid="{1187F710-8C93-4B53-A6DF-7457530643E4}" maximized="1" windowWidth="0" windowHeight="0" activeSheetId="0"/>
    <customWorkbookView name="Filter 14" guid="{C45F2CFE-D13D-411A-9969-62D37A4E659F}" maximized="1" windowWidth="0" windowHeight="0" activeSheetId="0"/>
    <customWorkbookView name="Filter 61" guid="{B29F5A3D-C1CC-4C01-9094-3ED83635FF7A}" maximized="1" windowWidth="0" windowHeight="0" activeSheetId="0"/>
    <customWorkbookView name="Filter 68" guid="{F26DA7BC-EBF9-48D6-AD40-3714AF19063A}" maximized="1" windowWidth="0" windowHeight="0" activeSheetId="0"/>
    <customWorkbookView name="Filter 90" guid="{D7718746-2F54-4DFE-A769-D6472F3E6C0B}" maximized="1" windowWidth="0" windowHeight="0" activeSheetId="0"/>
    <customWorkbookView name="Filter 75" guid="{8D8AE14E-EC20-440C-9C39-5BEA7CF5A04F}" maximized="1" windowWidth="0" windowHeight="0" activeSheetId="0"/>
  </customWorkbookViews>
  <extLst>
    <ext uri="GoogleSheetsCustomDataVersion2">
      <go:sheetsCustomData xmlns:go="http://customooxmlschemas.google.com/" r:id="rId7" roundtripDataChecksum="L91jUO6aeExBdgg20PdtxTAsQa9evv9/Ce4jeESn5DA="/>
    </ext>
  </extLst>
</workbook>
</file>

<file path=xl/calcChain.xml><?xml version="1.0" encoding="utf-8"?>
<calcChain xmlns="http://schemas.openxmlformats.org/spreadsheetml/2006/main">
  <c r="Y7" i="2" l="1"/>
  <c r="Y8" i="2"/>
  <c r="Y9" i="2"/>
  <c r="Y10" i="2"/>
  <c r="Y6" i="2"/>
  <c r="M30" i="2"/>
  <c r="L30" i="2"/>
  <c r="K30" i="2" a="1"/>
  <c r="K30" i="2" s="1"/>
  <c r="J30" i="2" a="1"/>
  <c r="J30" i="2" s="1"/>
  <c r="I30" i="2" a="1"/>
  <c r="I30" i="2" s="1"/>
  <c r="M29" i="2"/>
  <c r="L29" i="2"/>
  <c r="K29" i="2" a="1"/>
  <c r="K29" i="2" s="1"/>
  <c r="J29" i="2" a="1"/>
  <c r="J29" i="2" s="1"/>
  <c r="I29" i="2" a="1"/>
  <c r="I29" i="2" s="1"/>
  <c r="M27" i="2"/>
  <c r="L27" i="2"/>
  <c r="K27" i="2" a="1"/>
  <c r="K27" i="2" s="1"/>
  <c r="J27" i="2" a="1"/>
  <c r="J27" i="2" s="1"/>
  <c r="I27" i="2" a="1"/>
  <c r="I27" i="2" s="1"/>
  <c r="M24" i="2"/>
  <c r="L24" i="2"/>
  <c r="K24" i="2" a="1"/>
  <c r="K24" i="2" s="1"/>
  <c r="J24" i="2" a="1"/>
  <c r="J24" i="2" s="1"/>
  <c r="I24" i="2" a="1"/>
  <c r="I24" i="2" s="1"/>
  <c r="D34" i="2"/>
  <c r="M33" i="2"/>
  <c r="L33" i="2"/>
  <c r="K33" i="2" a="1"/>
  <c r="K33" i="2" s="1"/>
  <c r="J33" i="2" a="1"/>
  <c r="J33" i="2" s="1"/>
  <c r="I33" i="2" a="1"/>
  <c r="I33" i="2" s="1"/>
  <c r="M32" i="2"/>
  <c r="L32" i="2"/>
  <c r="K32" i="2" a="1"/>
  <c r="K32" i="2" s="1"/>
  <c r="J32" i="2" a="1"/>
  <c r="J32" i="2" s="1"/>
  <c r="I32" i="2" a="1"/>
  <c r="I32" i="2" s="1"/>
  <c r="M31" i="2"/>
  <c r="L31" i="2"/>
  <c r="K31" i="2" a="1"/>
  <c r="K31" i="2" s="1"/>
  <c r="J31" i="2" a="1"/>
  <c r="J31" i="2" s="1"/>
  <c r="I31" i="2" a="1"/>
  <c r="I31" i="2" s="1"/>
  <c r="M28" i="2"/>
  <c r="L28" i="2"/>
  <c r="K28" i="2" a="1"/>
  <c r="K28" i="2" s="1"/>
  <c r="J28" i="2" a="1"/>
  <c r="J28" i="2" s="1"/>
  <c r="I28" i="2" a="1"/>
  <c r="I28" i="2" s="1"/>
  <c r="M26" i="2"/>
  <c r="L26" i="2"/>
  <c r="K26" i="2" a="1"/>
  <c r="K26" i="2" s="1"/>
  <c r="J26" i="2" a="1"/>
  <c r="J26" i="2" s="1"/>
  <c r="I26" i="2" a="1"/>
  <c r="I26" i="2" s="1"/>
  <c r="M25" i="2"/>
  <c r="L25" i="2"/>
  <c r="K25" i="2" a="1"/>
  <c r="K25" i="2" s="1"/>
  <c r="J25" i="2" a="1"/>
  <c r="J25" i="2" s="1"/>
  <c r="I25" i="2" a="1"/>
  <c r="I25" i="2" s="1"/>
  <c r="M23" i="2"/>
  <c r="L23" i="2"/>
  <c r="K23" i="2" a="1"/>
  <c r="K23" i="2" s="1"/>
  <c r="J23" i="2" a="1"/>
  <c r="J23" i="2" s="1"/>
  <c r="I23" i="2" a="1"/>
  <c r="I23" i="2" s="1"/>
  <c r="M22" i="2"/>
  <c r="L22" i="2"/>
  <c r="K22" i="2" a="1"/>
  <c r="K22" i="2" s="1"/>
  <c r="J22" i="2" a="1"/>
  <c r="J22" i="2" s="1"/>
  <c r="I22" i="2" a="1"/>
  <c r="I22" i="2" s="1"/>
  <c r="M21" i="2"/>
  <c r="L21" i="2"/>
  <c r="K21" i="2" a="1"/>
  <c r="K21" i="2" s="1"/>
  <c r="J21" i="2" a="1"/>
  <c r="J21" i="2" s="1"/>
  <c r="I21" i="2" a="1"/>
  <c r="I21" i="2" s="1"/>
  <c r="M20" i="2"/>
  <c r="L20" i="2"/>
  <c r="K20" i="2" a="1"/>
  <c r="K20" i="2" s="1"/>
  <c r="J20" i="2" a="1"/>
  <c r="J20" i="2" s="1"/>
  <c r="I20" i="2" a="1"/>
  <c r="I20" i="2" s="1"/>
  <c r="M19" i="2"/>
  <c r="L19" i="2"/>
  <c r="K19" i="2" a="1"/>
  <c r="K19" i="2" s="1"/>
  <c r="J19" i="2" a="1"/>
  <c r="J19" i="2" s="1"/>
  <c r="I19" i="2" a="1"/>
  <c r="I19" i="2" s="1"/>
  <c r="M18" i="2"/>
  <c r="L18" i="2"/>
  <c r="K18" i="2" a="1"/>
  <c r="K18" i="2" s="1"/>
  <c r="J18" i="2" a="1"/>
  <c r="J18" i="2" s="1"/>
  <c r="I18" i="2" a="1"/>
  <c r="I18" i="2" s="1"/>
  <c r="M17" i="2"/>
  <c r="L17" i="2"/>
  <c r="K17" i="2" a="1"/>
  <c r="K17" i="2" s="1"/>
  <c r="J17" i="2" a="1"/>
  <c r="J17" i="2" s="1"/>
  <c r="I17" i="2" a="1"/>
  <c r="I17" i="2" s="1"/>
  <c r="M16" i="2"/>
  <c r="L16" i="2"/>
  <c r="K16" i="2" a="1"/>
  <c r="K16" i="2" s="1"/>
  <c r="J16" i="2" a="1"/>
  <c r="J16" i="2" s="1"/>
  <c r="I16" i="2" a="1"/>
  <c r="I16" i="2" s="1"/>
  <c r="M15" i="2"/>
  <c r="L15" i="2"/>
  <c r="K15" i="2" a="1"/>
  <c r="K15" i="2" s="1"/>
  <c r="J15" i="2" a="1"/>
  <c r="J15" i="2" s="1"/>
  <c r="I15" i="2" a="1"/>
  <c r="I15" i="2" s="1"/>
  <c r="M14" i="2"/>
  <c r="L14" i="2"/>
  <c r="K14" i="2" a="1"/>
  <c r="K14" i="2" s="1"/>
  <c r="J14" i="2" a="1"/>
  <c r="J14" i="2" s="1"/>
  <c r="I14" i="2" a="1"/>
  <c r="I14" i="2" s="1"/>
  <c r="M13" i="2"/>
  <c r="L13" i="2"/>
  <c r="K13" i="2" a="1"/>
  <c r="K13" i="2" s="1"/>
  <c r="J13" i="2" a="1"/>
  <c r="J13" i="2" s="1"/>
  <c r="I13" i="2" a="1"/>
  <c r="I13" i="2" s="1"/>
  <c r="M12" i="2"/>
  <c r="L12" i="2"/>
  <c r="K12" i="2" a="1"/>
  <c r="K12" i="2" s="1"/>
  <c r="J12" i="2" a="1"/>
  <c r="J12" i="2" s="1"/>
  <c r="I12" i="2" a="1"/>
  <c r="I12" i="2" s="1"/>
  <c r="M11" i="2"/>
  <c r="L11" i="2"/>
  <c r="K11" i="2" a="1"/>
  <c r="K11" i="2" s="1"/>
  <c r="J11" i="2" a="1"/>
  <c r="J11" i="2" s="1"/>
  <c r="I11" i="2" a="1"/>
  <c r="I11" i="2" s="1"/>
  <c r="X10" i="2"/>
  <c r="W10" i="2"/>
  <c r="V10" i="2"/>
  <c r="U10" i="2"/>
  <c r="T10" i="2"/>
  <c r="S10" i="2"/>
  <c r="M10" i="2"/>
  <c r="L10" i="2"/>
  <c r="K10" i="2" a="1"/>
  <c r="K10" i="2" s="1"/>
  <c r="J10" i="2" a="1"/>
  <c r="J10" i="2" s="1"/>
  <c r="I10" i="2" a="1"/>
  <c r="I10" i="2" s="1"/>
  <c r="X9" i="2"/>
  <c r="W9" i="2"/>
  <c r="V9" i="2"/>
  <c r="U9" i="2"/>
  <c r="T9" i="2"/>
  <c r="S9" i="2"/>
  <c r="M9" i="2"/>
  <c r="L9" i="2"/>
  <c r="K9" i="2" a="1"/>
  <c r="K9" i="2" s="1"/>
  <c r="J9" i="2" a="1"/>
  <c r="J9" i="2" s="1"/>
  <c r="I9" i="2" a="1"/>
  <c r="I9" i="2" s="1"/>
  <c r="X8" i="2"/>
  <c r="W8" i="2"/>
  <c r="V8" i="2"/>
  <c r="U8" i="2"/>
  <c r="T8" i="2"/>
  <c r="S8" i="2"/>
  <c r="M8" i="2"/>
  <c r="L8" i="2"/>
  <c r="K8" i="2" a="1"/>
  <c r="K8" i="2" s="1"/>
  <c r="J8" i="2" a="1"/>
  <c r="J8" i="2" s="1"/>
  <c r="I8" i="2" a="1"/>
  <c r="I8" i="2" s="1"/>
  <c r="X7" i="2"/>
  <c r="W7" i="2"/>
  <c r="V7" i="2"/>
  <c r="U7" i="2"/>
  <c r="T7" i="2"/>
  <c r="S7" i="2"/>
  <c r="M7" i="2"/>
  <c r="L7" i="2"/>
  <c r="K7" i="2" a="1"/>
  <c r="K7" i="2" s="1"/>
  <c r="J7" i="2" a="1"/>
  <c r="J7" i="2" s="1"/>
  <c r="I7" i="2" a="1"/>
  <c r="I7" i="2" s="1"/>
  <c r="X6" i="2"/>
  <c r="W6" i="2"/>
  <c r="V6" i="2"/>
  <c r="U6" i="2"/>
  <c r="T6" i="2"/>
  <c r="S6" i="2"/>
  <c r="M6" i="2"/>
  <c r="L6" i="2"/>
  <c r="K6" i="2" a="1"/>
  <c r="K6" i="2" s="1"/>
  <c r="J6" i="2" a="1"/>
  <c r="J6" i="2" s="1"/>
  <c r="I6" i="2" a="1"/>
  <c r="I6" i="2" s="1"/>
  <c r="Q4" i="2"/>
  <c r="F4" i="2"/>
  <c r="B2" i="2"/>
  <c r="H30" i="2" l="1"/>
  <c r="H29" i="2"/>
  <c r="F12" i="1"/>
  <c r="H27" i="2"/>
  <c r="H24" i="2"/>
  <c r="S11" i="2"/>
  <c r="V11" i="2"/>
  <c r="R8" i="2"/>
  <c r="R7" i="2"/>
  <c r="T11" i="2"/>
  <c r="U11" i="2"/>
  <c r="R6" i="2"/>
  <c r="X11" i="2"/>
  <c r="W11" i="2"/>
  <c r="R9" i="2"/>
  <c r="R10" i="2"/>
  <c r="H19" i="2"/>
  <c r="H15" i="2"/>
  <c r="H12" i="2"/>
  <c r="H26" i="2"/>
  <c r="M34" i="2"/>
  <c r="L34" i="2"/>
  <c r="H25" i="2"/>
  <c r="H9" i="2"/>
  <c r="H11" i="2"/>
  <c r="H32" i="2"/>
  <c r="H7" i="2"/>
  <c r="H28" i="2"/>
  <c r="H31" i="2"/>
  <c r="H17" i="2"/>
  <c r="H18" i="2"/>
  <c r="H20" i="2"/>
  <c r="H10" i="2"/>
  <c r="H22" i="2"/>
  <c r="H13" i="2"/>
  <c r="H33" i="2"/>
  <c r="H8" i="2"/>
  <c r="H14" i="2"/>
  <c r="H16" i="2"/>
  <c r="H21" i="2"/>
  <c r="H23" i="2"/>
  <c r="J34" i="2"/>
  <c r="K34" i="2"/>
  <c r="H6" i="2"/>
  <c r="I34" i="2"/>
  <c r="G12" i="1" l="1"/>
  <c r="R11" i="2"/>
  <c r="Y11" i="2" s="1"/>
  <c r="H34" i="2"/>
</calcChain>
</file>

<file path=xl/sharedStrings.xml><?xml version="1.0" encoding="utf-8"?>
<sst xmlns="http://schemas.openxmlformats.org/spreadsheetml/2006/main" count="310" uniqueCount="156">
  <si>
    <t xml:space="preserve">PLAN DE ACTIVIDADES PARA LA REVISIÓN TÉCNICA Y FUNCIONAL - SISTEMA </t>
  </si>
  <si>
    <t>Actividades</t>
  </si>
  <si>
    <t>Fecha inicio</t>
  </si>
  <si>
    <t>Fecha Fin</t>
  </si>
  <si>
    <t>Estimación en días</t>
  </si>
  <si>
    <t>HITO 1</t>
  </si>
  <si>
    <t>HITO 2</t>
  </si>
  <si>
    <t>HITO 3</t>
  </si>
  <si>
    <t>HITO 4</t>
  </si>
  <si>
    <t>HITO 5</t>
  </si>
  <si>
    <t>HITO 6</t>
  </si>
  <si>
    <t>HITO 7</t>
  </si>
  <si>
    <t>Nro.</t>
  </si>
  <si>
    <t>NRO. INCIDENCIA</t>
  </si>
  <si>
    <t>TIPOS DE PRUEBA</t>
  </si>
  <si>
    <t>ESTADO</t>
  </si>
  <si>
    <t>PUNTOS CRÍTICOS A REVISAR</t>
  </si>
  <si>
    <t>PROCESOS</t>
  </si>
  <si>
    <t>DETALLE</t>
  </si>
  <si>
    <t>TIPO DE PRUEBA</t>
  </si>
  <si>
    <t>ID-CP</t>
  </si>
  <si>
    <t>CASO DE PRUEBA</t>
  </si>
  <si>
    <t>HITO</t>
  </si>
  <si>
    <t>RESULTADO ESPERADO</t>
  </si>
  <si>
    <t>ANALISTA QA</t>
  </si>
  <si>
    <t>ENCARGADO</t>
  </si>
  <si>
    <t>COMENTARIOS  QA</t>
  </si>
  <si>
    <t>Total Inc.</t>
  </si>
  <si>
    <t>CRITICIDAD</t>
  </si>
  <si>
    <t>PRUEBAS FUNCIONALES</t>
  </si>
  <si>
    <t>COMENTARIOS DESARROLLO</t>
  </si>
  <si>
    <t>Corregidas</t>
  </si>
  <si>
    <t>Pendientes QA</t>
  </si>
  <si>
    <t>ANALISTA DESARROLLO</t>
  </si>
  <si>
    <t>Pendientes DEV</t>
  </si>
  <si>
    <t>ANALISTA DESARROLLO 2</t>
  </si>
  <si>
    <t>FECHA SUBSANACIÓN</t>
  </si>
  <si>
    <t>Desestimado</t>
  </si>
  <si>
    <t>Mejora</t>
  </si>
  <si>
    <t>Alejandra Cárdenas</t>
  </si>
  <si>
    <t>Responsable QA</t>
  </si>
  <si>
    <t>Total de Casos Asignado</t>
  </si>
  <si>
    <t>PENDIENTE</t>
  </si>
  <si>
    <t>EN PROCESO</t>
  </si>
  <si>
    <t>BLOQUEANTE</t>
  </si>
  <si>
    <t>CONCLUIDO</t>
  </si>
  <si>
    <t>CERRADO</t>
  </si>
  <si>
    <t>POSTERGADO</t>
  </si>
  <si>
    <t>% de Avance</t>
  </si>
  <si>
    <t>CP-EACS-001</t>
  </si>
  <si>
    <t>PRUEBAS TECNICAS</t>
  </si>
  <si>
    <t>Documentación</t>
  </si>
  <si>
    <t>PT01</t>
  </si>
  <si>
    <t>PT02</t>
  </si>
  <si>
    <t>Configuración y Entorno</t>
  </si>
  <si>
    <t>PT03</t>
  </si>
  <si>
    <t>Estabilidad de Ambiente</t>
  </si>
  <si>
    <t>PT04</t>
  </si>
  <si>
    <t>Verificar la estabilidad, navegación básica y ejecución de los módulos críticos bajo la versión de .NET framework 4.8.1.</t>
  </si>
  <si>
    <t>PRUEBAS DE REGRESION</t>
  </si>
  <si>
    <t>Revisión y levantamiento de incidencias</t>
  </si>
  <si>
    <t>PR01</t>
  </si>
  <si>
    <t xml:space="preserve">Revisar y cerrar incidencias </t>
  </si>
  <si>
    <t>Flujos Críticos de Regresión</t>
  </si>
  <si>
    <t>PR02</t>
  </si>
  <si>
    <t>Ejecutar flujos críticos del sistema.</t>
  </si>
  <si>
    <t>Leyenda</t>
  </si>
  <si>
    <t>Funcionalidad con errores que no permiten continuar con la revisión</t>
  </si>
  <si>
    <t xml:space="preserve">Funcionalidad pendiente de revisión por el equipo de QA     </t>
  </si>
  <si>
    <t xml:space="preserve">Funcionalidad en proceso de revisión por el equipo de QA     </t>
  </si>
  <si>
    <t>Funcionalidad revisada completamente, pero se tiene incidencias pendientes</t>
  </si>
  <si>
    <t xml:space="preserve">Funcionalidad revisada completamente, no se tiene incidencias pendientes     </t>
  </si>
  <si>
    <t>Funcionalidad postergada para un próximo paquete de mejoras</t>
  </si>
  <si>
    <t>Incidencia no permiten continuar con la revisión</t>
  </si>
  <si>
    <t xml:space="preserve">Incidencia pendiente de revisión </t>
  </si>
  <si>
    <t>Incidencia en proceso de revisión</t>
  </si>
  <si>
    <t xml:space="preserve">Incidencia revisada completamente, pero se tiene otras incidencias relacionadas pendientes </t>
  </si>
  <si>
    <t xml:space="preserve">Incidencia revisada completamente, no se tiene incidencias relacionadas pendientes     </t>
  </si>
  <si>
    <t>DESESTIMADO</t>
  </si>
  <si>
    <t>Incidencia que no requiere corrección o no corresponde al sistema.</t>
  </si>
  <si>
    <t>MEJORA</t>
  </si>
  <si>
    <t>Incidencia postergada para un próximo paquete de mejoras</t>
  </si>
  <si>
    <t>Validan lo que hace el sistema</t>
  </si>
  <si>
    <t>Verifican como lo hace el sistema</t>
  </si>
  <si>
    <t>Verifican que los cambios o actualizaciones no hayan roto lo que ya funcionaba</t>
  </si>
  <si>
    <t>ALTA</t>
  </si>
  <si>
    <t>Detiene por completo la operación del sistema y no existe ninguna alternativa para continuar</t>
  </si>
  <si>
    <t>CP-EACS-002</t>
  </si>
  <si>
    <t>MEDIA</t>
  </si>
  <si>
    <t>Afecta funciones importantes pero no vitales, y/o se tiene una solución alternativa para continuar.</t>
  </si>
  <si>
    <t>BAJA</t>
  </si>
  <si>
    <t>No afectan la operación ni la lógica del sistema</t>
  </si>
  <si>
    <t>CP-EACS-003</t>
  </si>
  <si>
    <t>CP-EACS-004</t>
  </si>
  <si>
    <t>CP-EACS-005</t>
  </si>
  <si>
    <t>CP-EACS-006</t>
  </si>
  <si>
    <t>RESUMEN/TOTAL</t>
  </si>
  <si>
    <t>CP-EACS-007</t>
  </si>
  <si>
    <t>CP-EACS-008</t>
  </si>
  <si>
    <t>CP-EACS-009</t>
  </si>
  <si>
    <t>CP-EACS-010</t>
  </si>
  <si>
    <t>CP-EACS-011</t>
  </si>
  <si>
    <t>CP-EACS-012</t>
  </si>
  <si>
    <t>CP-EACS-013</t>
  </si>
  <si>
    <t>CP-EACS-014</t>
  </si>
  <si>
    <t>CP-EACS-015</t>
  </si>
  <si>
    <t>CP-EACS-016</t>
  </si>
  <si>
    <t>CP-EACS-017</t>
  </si>
  <si>
    <t>CP-EACS-018</t>
  </si>
  <si>
    <t>CP-EACS-019</t>
  </si>
  <si>
    <t>CP-EACS-020</t>
  </si>
  <si>
    <t>CP-EACS-021</t>
  </si>
  <si>
    <t>CP-EACS-022</t>
  </si>
  <si>
    <t>CP-EACS-023</t>
  </si>
  <si>
    <t>Sistema estable sin caídas repentinas, navegación fluida y sin conflictos de compatibilidad en la infraestructura de .NET 4.8.1.</t>
  </si>
  <si>
    <t>CP-EACS-024</t>
  </si>
  <si>
    <t>Totalidad de defectos corregidos por desarrollo validados exitosamente, con su estado actualizado a "Cerrado".</t>
  </si>
  <si>
    <t>CP-EACS-025</t>
  </si>
  <si>
    <t>Procesos de negocio (rutas críticas y Happy Paths) completados y sin encontrar errores de severidad alta o bloqueante</t>
  </si>
  <si>
    <t>TOTAL / RESUMEN</t>
  </si>
  <si>
    <t>Estado</t>
  </si>
  <si>
    <t>ITERACIÓN</t>
  </si>
  <si>
    <t>MÓDULO</t>
  </si>
  <si>
    <t>FECHA DE REPORTE</t>
  </si>
  <si>
    <t>SISTEMA</t>
  </si>
  <si>
    <t>FUNCIONALIDAD</t>
  </si>
  <si>
    <t>ROL</t>
  </si>
  <si>
    <t>NAVEGADOR</t>
  </si>
  <si>
    <t>DESCRIPCIÓN DE INCIDENCIA</t>
  </si>
  <si>
    <t>IMAGEN2</t>
  </si>
  <si>
    <t>IMAGEN1</t>
  </si>
  <si>
    <t>CP-EACS-026</t>
  </si>
  <si>
    <t>Crear documentos para las pruebas (Plan y Diseño de Casos de Prueba; Plan de revisión de sistema).</t>
  </si>
  <si>
    <t>PT05</t>
  </si>
  <si>
    <t>Verificar entorno y configuración base</t>
  </si>
  <si>
    <t>Crear documentos de las pruebas realizadas  (Informe de atención de solicitudes, Informe de incidencias).</t>
  </si>
  <si>
    <t>Crear o actualizar documentos de las pruebas realizadas  (Plan y Diseño de Casos de Prueba; Plan de revisión de sistema, Informe de atención de solicitudes, Informe de incidencias, Informe de resultados de pruebas de calidad, Informe de pruebas).</t>
  </si>
  <si>
    <t>PT06</t>
  </si>
  <si>
    <t>CP-EACS-027</t>
  </si>
  <si>
    <t>CP-EACS-028</t>
  </si>
  <si>
    <t>Documentos redactados y aprobados</t>
  </si>
  <si>
    <t>Ambiente operativo, actualizados y sin bloqueos.</t>
  </si>
  <si>
    <t xml:space="preserve">Documentos del sistema analizados y considerados una línea base estable para las siguientes actividades. </t>
  </si>
  <si>
    <t xml:space="preserve">  </t>
  </si>
  <si>
    <t>Análisis de documentación del Sistema.</t>
  </si>
  <si>
    <t>DESCRIPCIÓN</t>
  </si>
  <si>
    <t>Planificación, analisis y Diseño de casos de prueba</t>
  </si>
  <si>
    <t>Instalación y despliegue del sistema</t>
  </si>
  <si>
    <t>Validación de la operatividad</t>
  </si>
  <si>
    <t>Ejecución de pruebas funcionales y técnicas</t>
  </si>
  <si>
    <t>Pruebas de regresión</t>
  </si>
  <si>
    <t>Cierre de pruebas</t>
  </si>
  <si>
    <t>PRUEBAS TÉCNICAS</t>
  </si>
  <si>
    <t>PRUEBAS DE REGRESIÓN</t>
  </si>
  <si>
    <t>FECHA DE ATENCIÓN</t>
  </si>
  <si>
    <t>[Nombre de Sistema]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</si>
</sst>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2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11"/>
      <color rgb="FFFF0000"/>
      <name val="Arial"/>
    </font>
    <font>
      <b/>
      <sz val="11"/>
      <color rgb="FFFFFFFF"/>
      <name val="Arial"/>
    </font>
    <font>
      <sz val="11"/>
      <name val="Arial"/>
    </font>
    <font>
      <b/>
      <sz val="11"/>
      <color theme="0"/>
      <name val="Arial"/>
    </font>
    <font>
      <sz val="11"/>
      <color rgb="FF000000"/>
      <name val="Arial Narrow"/>
    </font>
    <font>
      <b/>
      <sz val="11"/>
      <color theme="1"/>
      <name val="Arial"/>
      <family val="2"/>
      <scheme val="minor"/>
    </font>
    <font>
      <u/>
      <sz val="11"/>
      <color theme="10"/>
      <name val="Arial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8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3F3F3F"/>
        <bgColor rgb="FF3F3F3F"/>
      </patternFill>
    </fill>
    <fill>
      <patternFill patternType="solid">
        <fgColor rgb="FFBFBFBF"/>
        <bgColor rgb="FFBFBFBF"/>
      </patternFill>
    </fill>
    <fill>
      <patternFill patternType="solid">
        <fgColor rgb="FF525252"/>
        <bgColor rgb="FF525252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FFF2CB"/>
        <bgColor rgb="FFFFF2CB"/>
      </patternFill>
    </fill>
    <fill>
      <patternFill patternType="solid">
        <fgColor rgb="FFFFF2CC"/>
        <bgColor rgb="FFFFF2CC"/>
      </patternFill>
    </fill>
    <fill>
      <patternFill patternType="solid">
        <fgColor rgb="FF595959"/>
        <bgColor rgb="FF595959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5B9BD5"/>
        <bgColor rgb="FF5B9BD5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D9D2E9"/>
        <bgColor rgb="FFD9D2E9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 style="thin">
        <color rgb="FF757171"/>
      </left>
      <right style="thin">
        <color rgb="FF757171"/>
      </right>
      <top/>
      <bottom style="thin">
        <color rgb="FF75717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757171"/>
      </right>
      <top/>
      <bottom/>
      <diagonal/>
    </border>
    <border>
      <left style="thin">
        <color rgb="FF757171"/>
      </left>
      <right style="thin">
        <color rgb="FF757171"/>
      </right>
      <top/>
      <bottom/>
      <diagonal/>
    </border>
    <border>
      <left style="thin">
        <color rgb="FF757171"/>
      </left>
      <right/>
      <top/>
      <bottom style="thin">
        <color rgb="FF757171"/>
      </bottom>
      <diagonal/>
    </border>
    <border>
      <left style="thin">
        <color rgb="FF757171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7" fillId="3" borderId="2" xfId="0" applyFont="1" applyFill="1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left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4" fillId="20" borderId="32" xfId="0" applyFont="1" applyFill="1" applyBorder="1" applyAlignment="1">
      <alignment horizontal="left" vertical="center" wrapText="1"/>
    </xf>
    <xf numFmtId="0" fontId="2" fillId="20" borderId="3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center" wrapText="1"/>
    </xf>
    <xf numFmtId="49" fontId="3" fillId="16" borderId="33" xfId="0" applyNumberFormat="1" applyFont="1" applyFill="1" applyBorder="1" applyAlignment="1">
      <alignment wrapText="1"/>
    </xf>
    <xf numFmtId="49" fontId="3" fillId="14" borderId="33" xfId="0" applyNumberFormat="1" applyFont="1" applyFill="1" applyBorder="1" applyAlignment="1">
      <alignment wrapText="1"/>
    </xf>
    <xf numFmtId="49" fontId="3" fillId="15" borderId="33" xfId="0" applyNumberFormat="1" applyFont="1" applyFill="1" applyBorder="1" applyAlignment="1">
      <alignment vertical="center"/>
    </xf>
    <xf numFmtId="49" fontId="3" fillId="9" borderId="33" xfId="0" applyNumberFormat="1" applyFont="1" applyFill="1" applyBorder="1" applyAlignment="1">
      <alignment vertical="center" wrapText="1"/>
    </xf>
    <xf numFmtId="49" fontId="3" fillId="8" borderId="33" xfId="0" applyNumberFormat="1" applyFont="1" applyFill="1" applyBorder="1" applyAlignment="1">
      <alignment wrapText="1"/>
    </xf>
    <xf numFmtId="49" fontId="3" fillId="18" borderId="33" xfId="0" applyNumberFormat="1" applyFont="1" applyFill="1" applyBorder="1" applyAlignment="1">
      <alignment wrapText="1"/>
    </xf>
    <xf numFmtId="0" fontId="10" fillId="0" borderId="0" xfId="0" applyFont="1"/>
    <xf numFmtId="49" fontId="3" fillId="13" borderId="33" xfId="0" applyNumberFormat="1" applyFont="1" applyFill="1" applyBorder="1" applyAlignment="1">
      <alignment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9" fillId="8" borderId="2" xfId="0" applyFont="1" applyFill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/>
    </xf>
    <xf numFmtId="0" fontId="5" fillId="0" borderId="11" xfId="0" applyFont="1" applyBorder="1" applyAlignment="1">
      <alignment vertical="top" wrapText="1"/>
    </xf>
    <xf numFmtId="0" fontId="5" fillId="0" borderId="40" xfId="0" applyFont="1" applyBorder="1" applyAlignment="1">
      <alignment vertical="top" wrapText="1"/>
    </xf>
    <xf numFmtId="0" fontId="15" fillId="0" borderId="40" xfId="0" applyFont="1" applyBorder="1" applyAlignment="1">
      <alignment horizontal="left" vertical="top" wrapText="1"/>
    </xf>
    <xf numFmtId="0" fontId="2" fillId="12" borderId="2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vertical="top" wrapText="1"/>
    </xf>
    <xf numFmtId="0" fontId="12" fillId="0" borderId="2" xfId="1" applyBorder="1" applyAlignment="1">
      <alignment horizontal="left" vertical="top" wrapText="1"/>
    </xf>
    <xf numFmtId="0" fontId="5" fillId="2" borderId="2" xfId="0" applyFont="1" applyFill="1" applyBorder="1" applyAlignment="1">
      <alignment vertical="top" wrapText="1"/>
    </xf>
    <xf numFmtId="0" fontId="3" fillId="0" borderId="30" xfId="0" applyFont="1" applyBorder="1" applyAlignment="1">
      <alignment horizontal="center" vertical="top"/>
    </xf>
    <xf numFmtId="0" fontId="9" fillId="8" borderId="5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19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16" fillId="12" borderId="2" xfId="0" applyFont="1" applyFill="1" applyBorder="1" applyAlignment="1">
      <alignment horizontal="center" vertical="top" wrapText="1"/>
    </xf>
    <xf numFmtId="0" fontId="15" fillId="0" borderId="40" xfId="0" applyFont="1" applyBorder="1" applyAlignment="1">
      <alignment vertical="top" wrapText="1"/>
    </xf>
    <xf numFmtId="1" fontId="5" fillId="0" borderId="2" xfId="0" applyNumberFormat="1" applyFont="1" applyBorder="1" applyAlignment="1">
      <alignment vertical="center"/>
    </xf>
    <xf numFmtId="0" fontId="15" fillId="0" borderId="4" xfId="0" applyFont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/>
    </xf>
    <xf numFmtId="0" fontId="15" fillId="0" borderId="11" xfId="0" applyFont="1" applyBorder="1" applyAlignment="1">
      <alignment horizontal="left"/>
    </xf>
    <xf numFmtId="0" fontId="19" fillId="3" borderId="2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right" vertical="center"/>
    </xf>
    <xf numFmtId="0" fontId="15" fillId="0" borderId="0" xfId="0" applyFont="1"/>
    <xf numFmtId="0" fontId="20" fillId="0" borderId="41" xfId="0" applyFont="1" applyBorder="1" applyAlignment="1">
      <alignment horizontal="left" vertical="center" wrapText="1"/>
    </xf>
    <xf numFmtId="0" fontId="20" fillId="0" borderId="42" xfId="0" applyFont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/>
    <xf numFmtId="0" fontId="2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 wrapText="1"/>
    </xf>
    <xf numFmtId="0" fontId="11" fillId="6" borderId="24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1" fontId="11" fillId="9" borderId="27" xfId="0" applyNumberFormat="1" applyFont="1" applyFill="1" applyBorder="1" applyAlignment="1">
      <alignment horizontal="center" vertical="center"/>
    </xf>
    <xf numFmtId="1" fontId="11" fillId="10" borderId="21" xfId="0" applyNumberFormat="1" applyFont="1" applyFill="1" applyBorder="1" applyAlignment="1">
      <alignment horizontal="center" vertical="center"/>
    </xf>
    <xf numFmtId="1" fontId="11" fillId="11" borderId="24" xfId="0" applyNumberFormat="1" applyFont="1" applyFill="1" applyBorder="1" applyAlignment="1">
      <alignment horizontal="center" vertical="center"/>
    </xf>
    <xf numFmtId="1" fontId="11" fillId="13" borderId="21" xfId="0" applyNumberFormat="1" applyFont="1" applyFill="1" applyBorder="1" applyAlignment="1">
      <alignment horizontal="center" vertical="center"/>
    </xf>
    <xf numFmtId="1" fontId="11" fillId="6" borderId="26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1" fillId="0" borderId="31" xfId="0" applyNumberFormat="1" applyFont="1" applyBorder="1" applyAlignment="1">
      <alignment horizontal="center" vertical="center" wrapText="1"/>
    </xf>
    <xf numFmtId="1" fontId="1" fillId="4" borderId="32" xfId="0" applyNumberFormat="1" applyFont="1" applyFill="1" applyBorder="1" applyAlignment="1">
      <alignment horizontal="center" vertical="center"/>
    </xf>
    <xf numFmtId="0" fontId="1" fillId="0" borderId="31" xfId="0" applyFont="1" applyBorder="1" applyAlignment="1">
      <alignment horizontal="left" vertical="center" wrapText="1"/>
    </xf>
    <xf numFmtId="0" fontId="18" fillId="8" borderId="2" xfId="0" applyFont="1" applyFill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wrapText="1"/>
    </xf>
    <xf numFmtId="0" fontId="21" fillId="19" borderId="2" xfId="0" applyFont="1" applyFill="1" applyBorder="1" applyAlignment="1">
      <alignment horizontal="left" vertical="center" wrapText="1"/>
    </xf>
    <xf numFmtId="0" fontId="21" fillId="19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left" vertical="center" wrapText="1"/>
    </xf>
    <xf numFmtId="0" fontId="11" fillId="20" borderId="32" xfId="0" applyFont="1" applyFill="1" applyBorder="1" applyAlignment="1">
      <alignment horizontal="left" vertical="center" wrapText="1"/>
    </xf>
    <xf numFmtId="0" fontId="21" fillId="20" borderId="32" xfId="0" applyFont="1" applyFill="1" applyBorder="1" applyAlignment="1">
      <alignment horizontal="center" vertical="center" wrapText="1"/>
    </xf>
    <xf numFmtId="1" fontId="11" fillId="0" borderId="17" xfId="0" applyNumberFormat="1" applyFont="1" applyBorder="1" applyAlignment="1">
      <alignment horizontal="center" vertical="center" wrapText="1"/>
    </xf>
    <xf numFmtId="1" fontId="1" fillId="4" borderId="16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1" fillId="0" borderId="21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1" fontId="11" fillId="6" borderId="2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1" fillId="0" borderId="0" xfId="0" applyNumberFormat="1" applyFont="1" applyAlignment="1">
      <alignment wrapText="1"/>
    </xf>
    <xf numFmtId="49" fontId="11" fillId="0" borderId="0" xfId="0" applyNumberFormat="1" applyFont="1" applyAlignment="1">
      <alignment horizontal="center" wrapText="1"/>
    </xf>
    <xf numFmtId="49" fontId="1" fillId="16" borderId="33" xfId="0" applyNumberFormat="1" applyFont="1" applyFill="1" applyBorder="1" applyAlignment="1">
      <alignment wrapText="1"/>
    </xf>
    <xf numFmtId="49" fontId="1" fillId="14" borderId="33" xfId="0" applyNumberFormat="1" applyFont="1" applyFill="1" applyBorder="1" applyAlignment="1">
      <alignment wrapText="1"/>
    </xf>
    <xf numFmtId="49" fontId="1" fillId="15" borderId="33" xfId="0" applyNumberFormat="1" applyFont="1" applyFill="1" applyBorder="1" applyAlignment="1">
      <alignment vertical="center"/>
    </xf>
    <xf numFmtId="49" fontId="1" fillId="9" borderId="33" xfId="0" applyNumberFormat="1" applyFont="1" applyFill="1" applyBorder="1" applyAlignment="1">
      <alignment vertical="center" wrapText="1"/>
    </xf>
    <xf numFmtId="49" fontId="1" fillId="8" borderId="33" xfId="0" applyNumberFormat="1" applyFont="1" applyFill="1" applyBorder="1" applyAlignment="1">
      <alignment wrapText="1"/>
    </xf>
    <xf numFmtId="49" fontId="1" fillId="18" borderId="33" xfId="0" applyNumberFormat="1" applyFont="1" applyFill="1" applyBorder="1" applyAlignment="1">
      <alignment wrapText="1"/>
    </xf>
    <xf numFmtId="0" fontId="11" fillId="14" borderId="29" xfId="0" applyFont="1" applyFill="1" applyBorder="1" applyAlignment="1">
      <alignment horizontal="center" vertical="center" wrapText="1"/>
    </xf>
    <xf numFmtId="0" fontId="11" fillId="15" borderId="21" xfId="0" applyFont="1" applyFill="1" applyBorder="1" applyAlignment="1">
      <alignment horizontal="center" vertical="center" wrapText="1"/>
    </xf>
    <xf numFmtId="0" fontId="11" fillId="16" borderId="24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0" fontId="11" fillId="17" borderId="24" xfId="0" applyFont="1" applyFill="1" applyBorder="1" applyAlignment="1">
      <alignment horizontal="center" vertical="center" wrapText="1"/>
    </xf>
    <xf numFmtId="0" fontId="11" fillId="18" borderId="21" xfId="0" applyFont="1" applyFill="1" applyBorder="1" applyAlignment="1">
      <alignment horizontal="center" vertical="center" wrapText="1"/>
    </xf>
    <xf numFmtId="0" fontId="20" fillId="21" borderId="35" xfId="0" applyFont="1" applyFill="1" applyBorder="1" applyAlignment="1">
      <alignment horizontal="center" vertical="center" wrapText="1"/>
    </xf>
    <xf numFmtId="0" fontId="20" fillId="21" borderId="36" xfId="0" applyFont="1" applyFill="1" applyBorder="1" applyAlignment="1">
      <alignment horizontal="center" vertical="center" wrapText="1"/>
    </xf>
    <xf numFmtId="0" fontId="20" fillId="21" borderId="43" xfId="0" applyFont="1" applyFill="1" applyBorder="1" applyAlignment="1">
      <alignment horizontal="center" vertical="center" wrapText="1"/>
    </xf>
    <xf numFmtId="0" fontId="20" fillId="21" borderId="44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/>
    </xf>
    <xf numFmtId="9" fontId="21" fillId="22" borderId="41" xfId="0" applyNumberFormat="1" applyFont="1" applyFill="1" applyBorder="1" applyAlignment="1">
      <alignment horizontal="center" vertical="center" wrapText="1"/>
    </xf>
    <xf numFmtId="0" fontId="20" fillId="21" borderId="45" xfId="0" applyFont="1" applyFill="1" applyBorder="1" applyAlignment="1">
      <alignment horizontal="center" vertical="center" wrapText="1"/>
    </xf>
    <xf numFmtId="0" fontId="20" fillId="21" borderId="46" xfId="0" applyFont="1" applyFill="1" applyBorder="1" applyAlignment="1">
      <alignment horizontal="center" vertical="center" wrapText="1"/>
    </xf>
    <xf numFmtId="0" fontId="11" fillId="6" borderId="34" xfId="0" applyFont="1" applyFill="1" applyBorder="1" applyAlignment="1">
      <alignment horizontal="center" vertical="center" wrapText="1"/>
    </xf>
    <xf numFmtId="0" fontId="11" fillId="6" borderId="29" xfId="0" applyFont="1" applyFill="1" applyBorder="1" applyAlignment="1">
      <alignment horizontal="center" vertical="center" wrapText="1"/>
    </xf>
    <xf numFmtId="9" fontId="21" fillId="22" borderId="47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vertical="top" wrapText="1"/>
    </xf>
    <xf numFmtId="164" fontId="3" fillId="0" borderId="2" xfId="0" quotePrefix="1" applyNumberFormat="1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3" fillId="0" borderId="39" xfId="0" applyFont="1" applyBorder="1"/>
    <xf numFmtId="0" fontId="3" fillId="0" borderId="1" xfId="0" applyFont="1" applyBorder="1"/>
    <xf numFmtId="0" fontId="3" fillId="2" borderId="2" xfId="0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 wrapText="1"/>
    </xf>
    <xf numFmtId="0" fontId="15" fillId="2" borderId="2" xfId="0" applyFont="1" applyFill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" fontId="11" fillId="9" borderId="27" xfId="0" applyNumberFormat="1" applyFont="1" applyFill="1" applyBorder="1" applyAlignment="1">
      <alignment horizontal="center" vertical="center" wrapText="1"/>
    </xf>
    <xf numFmtId="1" fontId="11" fillId="10" borderId="21" xfId="0" applyNumberFormat="1" applyFont="1" applyFill="1" applyBorder="1" applyAlignment="1">
      <alignment horizontal="center" vertical="center" wrapText="1"/>
    </xf>
    <xf numFmtId="1" fontId="11" fillId="11" borderId="24" xfId="0" applyNumberFormat="1" applyFont="1" applyFill="1" applyBorder="1" applyAlignment="1">
      <alignment horizontal="center" vertical="center" wrapText="1"/>
    </xf>
    <xf numFmtId="1" fontId="11" fillId="13" borderId="21" xfId="0" applyNumberFormat="1" applyFont="1" applyFill="1" applyBorder="1" applyAlignment="1">
      <alignment horizontal="center" vertical="center" wrapText="1"/>
    </xf>
    <xf numFmtId="1" fontId="11" fillId="6" borderId="26" xfId="0" applyNumberFormat="1" applyFont="1" applyFill="1" applyBorder="1" applyAlignment="1">
      <alignment horizontal="center" vertical="center" wrapText="1"/>
    </xf>
    <xf numFmtId="14" fontId="4" fillId="6" borderId="18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4" fontId="14" fillId="6" borderId="1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3" fillId="8" borderId="2" xfId="0" applyFont="1" applyFill="1" applyBorder="1" applyAlignment="1">
      <alignment horizontal="left" vertical="top" wrapText="1"/>
    </xf>
    <xf numFmtId="0" fontId="13" fillId="10" borderId="2" xfId="0" applyFont="1" applyFill="1" applyBorder="1" applyAlignment="1">
      <alignment horizontal="left" vertical="center" wrapText="1"/>
    </xf>
    <xf numFmtId="0" fontId="15" fillId="19" borderId="2" xfId="0" applyFont="1" applyFill="1" applyBorder="1" applyAlignment="1">
      <alignment horizontal="left" vertical="center" wrapText="1"/>
    </xf>
    <xf numFmtId="0" fontId="13" fillId="20" borderId="32" xfId="0" applyFont="1" applyFill="1" applyBorder="1" applyAlignment="1">
      <alignment horizontal="left" vertical="center" wrapText="1"/>
    </xf>
    <xf numFmtId="0" fontId="3" fillId="0" borderId="2" xfId="0" applyFont="1" applyBorder="1" applyAlignment="1" applyProtection="1">
      <alignment horizontal="left" vertical="top" wrapText="1"/>
      <protection locked="0"/>
    </xf>
    <xf numFmtId="0" fontId="3" fillId="0" borderId="2" xfId="0" applyFont="1" applyBorder="1" applyAlignment="1" applyProtection="1">
      <alignment horizontal="left" vertical="top"/>
      <protection locked="0"/>
    </xf>
    <xf numFmtId="164" fontId="3" fillId="0" borderId="2" xfId="0" applyNumberFormat="1" applyFont="1" applyBorder="1" applyAlignment="1" applyProtection="1">
      <alignment horizontal="center" vertical="top"/>
      <protection locked="0"/>
    </xf>
    <xf numFmtId="0" fontId="3" fillId="0" borderId="17" xfId="0" applyFont="1" applyBorder="1" applyAlignment="1" applyProtection="1">
      <alignment horizontal="left" vertical="top"/>
      <protection locked="0"/>
    </xf>
    <xf numFmtId="0" fontId="3" fillId="0" borderId="30" xfId="0" applyFont="1" applyBorder="1" applyAlignment="1" applyProtection="1">
      <alignment horizontal="left" vertical="top"/>
      <protection locked="0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0" fontId="16" fillId="8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14" fontId="14" fillId="8" borderId="16" xfId="0" applyNumberFormat="1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/>
    <xf numFmtId="1" fontId="5" fillId="0" borderId="6" xfId="0" applyNumberFormat="1" applyFont="1" applyBorder="1" applyAlignment="1">
      <alignment horizontal="center" vertical="center"/>
    </xf>
    <xf numFmtId="0" fontId="8" fillId="0" borderId="6" xfId="0" applyFont="1" applyBorder="1"/>
    <xf numFmtId="0" fontId="8" fillId="0" borderId="8" xfId="0" applyFont="1" applyBorder="1"/>
    <xf numFmtId="1" fontId="5" fillId="0" borderId="3" xfId="0" applyNumberFormat="1" applyFont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 wrapText="1"/>
    </xf>
    <xf numFmtId="0" fontId="8" fillId="0" borderId="25" xfId="0" applyFont="1" applyBorder="1"/>
    <xf numFmtId="0" fontId="7" fillId="3" borderId="19" xfId="0" applyFont="1" applyFill="1" applyBorder="1" applyAlignment="1">
      <alignment horizontal="center" vertical="center"/>
    </xf>
    <xf numFmtId="0" fontId="8" fillId="0" borderId="20" xfId="0" applyFont="1" applyBorder="1"/>
    <xf numFmtId="0" fontId="8" fillId="0" borderId="22" xfId="0" applyFont="1" applyBorder="1"/>
    <xf numFmtId="0" fontId="4" fillId="2" borderId="17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1" fillId="0" borderId="3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1" fillId="0" borderId="7" xfId="0" applyFont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18" fillId="5" borderId="13" xfId="0" applyFont="1" applyFill="1" applyBorder="1" applyAlignment="1">
      <alignment horizontal="center" vertical="center" wrapText="1"/>
    </xf>
    <xf numFmtId="0" fontId="22" fillId="0" borderId="14" xfId="0" applyFont="1" applyBorder="1"/>
    <xf numFmtId="0" fontId="22" fillId="0" borderId="15" xfId="0" applyFont="1" applyBorder="1"/>
    <xf numFmtId="0" fontId="18" fillId="5" borderId="7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9" xfId="0" applyFont="1" applyBorder="1"/>
    <xf numFmtId="0" fontId="3" fillId="0" borderId="1" xfId="0" applyFont="1" applyBorder="1"/>
  </cellXfs>
  <cellStyles count="2">
    <cellStyle name="Hipervínculo" xfId="1" builtinId="8"/>
    <cellStyle name="Normal" xfId="0" builtinId="0"/>
  </cellStyles>
  <dxfs count="28">
    <dxf>
      <font>
        <color theme="1"/>
      </font>
      <fill>
        <patternFill patternType="solid">
          <fgColor rgb="FFFF0000"/>
          <bgColor rgb="FFFF4F4F"/>
        </patternFill>
      </fill>
    </dxf>
    <dxf>
      <font>
        <color theme="1"/>
      </font>
      <fill>
        <patternFill patternType="solid">
          <fgColor rgb="FFFFFF00"/>
          <bgColor rgb="FFFFFF85"/>
        </patternFill>
      </fill>
    </dxf>
    <dxf>
      <font>
        <color theme="1"/>
      </font>
      <fill>
        <patternFill patternType="solid">
          <fgColor rgb="FF2E75B5"/>
          <bgColor theme="4" tint="0.39994506668294322"/>
        </patternFill>
      </fill>
    </dxf>
    <dxf>
      <font>
        <color theme="1"/>
      </font>
      <fill>
        <patternFill patternType="solid">
          <fgColor theme="4"/>
          <bgColor theme="7" tint="0.59996337778862885"/>
        </patternFill>
      </fill>
    </dxf>
    <dxf>
      <font>
        <color theme="1"/>
      </font>
      <fill>
        <patternFill patternType="solid">
          <fgColor rgb="FFFFD965"/>
          <bgColor theme="9" tint="0.79998168889431442"/>
        </patternFill>
      </fill>
    </dxf>
    <dxf>
      <font>
        <color theme="1"/>
      </font>
      <fill>
        <patternFill patternType="solid">
          <fgColor rgb="FFA5A5A5"/>
          <bgColor rgb="FFE2CFED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D965"/>
          <bgColor rgb="FFFFD965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CC2E5"/>
          <bgColor rgb="FF9CC2E5"/>
        </patternFill>
      </fill>
    </dxf>
    <dxf>
      <font>
        <color theme="1"/>
      </font>
      <fill>
        <patternFill patternType="solid">
          <fgColor rgb="FFBFBFBF"/>
          <bgColor rgb="FFBFBFBF"/>
        </patternFill>
      </fill>
    </dxf>
    <dxf>
      <font>
        <color theme="1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D965"/>
          <bgColor rgb="FFFFD965"/>
        </patternFill>
      </fill>
    </dxf>
    <dxf>
      <font>
        <color theme="1"/>
      </font>
      <fill>
        <patternFill patternType="solid">
          <fgColor rgb="FFA8D08D"/>
          <bgColor rgb="FF92D050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CC2E5"/>
          <bgColor rgb="FF9CC2E5"/>
        </patternFill>
      </fill>
    </dxf>
    <dxf>
      <font>
        <color theme="1"/>
      </font>
      <fill>
        <patternFill patternType="solid">
          <fgColor rgb="FFBFBFBF"/>
          <bgColor rgb="FFBFBFBF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D965"/>
          <bgColor rgb="FFFFD965"/>
        </patternFill>
      </fill>
    </dxf>
    <dxf>
      <font>
        <color theme="1"/>
      </font>
      <fill>
        <patternFill patternType="solid">
          <fgColor rgb="FFA8D08D"/>
          <bgColor rgb="FF92D050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CC2E5"/>
          <bgColor rgb="FF82B2DE"/>
        </patternFill>
      </fill>
    </dxf>
    <dxf>
      <font>
        <color theme="1"/>
      </font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colors>
    <mruColors>
      <color rgb="FF82B2DE"/>
      <color rgb="FF71AE48"/>
      <color rgb="FFFF4F4F"/>
      <color rgb="FFFFFF85"/>
      <color rgb="FFE2C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AA53"/>
  <sheetViews>
    <sheetView showGridLines="0" topLeftCell="A16" zoomScale="85" zoomScaleNormal="85" workbookViewId="0">
      <selection activeCell="C6" sqref="C6"/>
    </sheetView>
  </sheetViews>
  <sheetFormatPr baseColWidth="10" defaultColWidth="23.125" defaultRowHeight="14.25" x14ac:dyDescent="0.2"/>
  <cols>
    <col min="1" max="1" width="8.875" customWidth="1"/>
    <col min="2" max="2" width="21.125" customWidth="1"/>
    <col min="3" max="3" width="43" customWidth="1"/>
    <col min="4" max="4" width="17.875" customWidth="1"/>
    <col min="5" max="5" width="42.875" customWidth="1"/>
    <col min="6" max="6" width="12.125" customWidth="1"/>
    <col min="7" max="7" width="17.625" bestFit="1" customWidth="1"/>
    <col min="8" max="8" width="13.75" bestFit="1" customWidth="1"/>
  </cols>
  <sheetData>
    <row r="2" spans="2:27" ht="15" x14ac:dyDescent="0.25">
      <c r="B2" s="1"/>
      <c r="C2" s="187" t="s">
        <v>0</v>
      </c>
      <c r="D2" s="188"/>
      <c r="E2" s="188"/>
      <c r="F2" s="5" t="s">
        <v>155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15" x14ac:dyDescent="0.25">
      <c r="B3" s="1"/>
      <c r="C3" s="3"/>
      <c r="D3" s="3"/>
      <c r="E3" s="3"/>
      <c r="F3" s="9"/>
      <c r="G3" s="9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37.5" customHeight="1" x14ac:dyDescent="0.2">
      <c r="B4" s="73" t="s">
        <v>143</v>
      </c>
      <c r="C4" s="160" t="s">
        <v>1</v>
      </c>
      <c r="D4" s="160" t="s">
        <v>2</v>
      </c>
      <c r="E4" s="160" t="s">
        <v>3</v>
      </c>
      <c r="F4" s="160" t="s">
        <v>4</v>
      </c>
      <c r="G4" s="160" t="s">
        <v>4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5.75" customHeight="1" x14ac:dyDescent="0.2">
      <c r="B5" s="10" t="s">
        <v>5</v>
      </c>
      <c r="C5" s="11" t="s">
        <v>146</v>
      </c>
      <c r="D5" s="12"/>
      <c r="E5" s="13"/>
      <c r="F5" s="66"/>
      <c r="G5" s="189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5" x14ac:dyDescent="0.2">
      <c r="B6" s="10" t="s">
        <v>6</v>
      </c>
      <c r="C6" s="67" t="s">
        <v>147</v>
      </c>
      <c r="D6" s="12"/>
      <c r="E6" s="13"/>
      <c r="F6" s="66"/>
      <c r="G6" s="190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5" x14ac:dyDescent="0.2">
      <c r="B7" s="10" t="s">
        <v>7</v>
      </c>
      <c r="C7" s="68" t="s">
        <v>148</v>
      </c>
      <c r="D7" s="13"/>
      <c r="E7" s="13"/>
      <c r="F7" s="66"/>
      <c r="G7" s="191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5" x14ac:dyDescent="0.2">
      <c r="B8" s="10" t="s">
        <v>8</v>
      </c>
      <c r="C8" s="68" t="s">
        <v>149</v>
      </c>
      <c r="D8" s="13"/>
      <c r="E8" s="13"/>
      <c r="F8" s="66"/>
      <c r="G8" s="192"/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5" x14ac:dyDescent="0.25">
      <c r="B9" s="15" t="s">
        <v>9</v>
      </c>
      <c r="C9" s="68" t="s">
        <v>60</v>
      </c>
      <c r="D9" s="13"/>
      <c r="E9" s="13"/>
      <c r="F9" s="66"/>
      <c r="G9" s="190"/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5" x14ac:dyDescent="0.25">
      <c r="B10" s="15" t="s">
        <v>10</v>
      </c>
      <c r="C10" s="69" t="s">
        <v>150</v>
      </c>
      <c r="D10" s="13"/>
      <c r="E10" s="13"/>
      <c r="F10" s="66"/>
      <c r="G10" s="190"/>
      <c r="H10" s="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5" x14ac:dyDescent="0.25">
      <c r="B11" s="15" t="s">
        <v>11</v>
      </c>
      <c r="C11" s="69" t="s">
        <v>151</v>
      </c>
      <c r="D11" s="13"/>
      <c r="E11" s="13"/>
      <c r="F11" s="66"/>
      <c r="G11" s="190"/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5" x14ac:dyDescent="0.25">
      <c r="B12" s="16"/>
      <c r="C12" s="16"/>
      <c r="D12" s="18"/>
      <c r="E12" s="7"/>
      <c r="F12" s="72">
        <f>SUM(F5:F11)</f>
        <v>0</v>
      </c>
      <c r="G12" s="10">
        <f>SUM(G8,G5)</f>
        <v>0</v>
      </c>
      <c r="H12" s="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x14ac:dyDescent="0.2">
      <c r="B13" s="7"/>
      <c r="C13" s="7"/>
      <c r="D13" s="7"/>
      <c r="E13" s="7"/>
      <c r="F13" s="7"/>
      <c r="G13" s="7"/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5" x14ac:dyDescent="0.2">
      <c r="B14" s="193" t="s">
        <v>14</v>
      </c>
      <c r="C14" s="193" t="s">
        <v>16</v>
      </c>
      <c r="D14" s="193" t="s">
        <v>17</v>
      </c>
      <c r="E14" s="193" t="s">
        <v>18</v>
      </c>
      <c r="F14" s="195" t="s">
        <v>18</v>
      </c>
      <c r="G14" s="196"/>
      <c r="H14" s="19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5" x14ac:dyDescent="0.2">
      <c r="B15" s="194"/>
      <c r="C15" s="194"/>
      <c r="D15" s="194"/>
      <c r="E15" s="194"/>
      <c r="F15" s="10" t="s">
        <v>22</v>
      </c>
      <c r="G15" s="10" t="s">
        <v>25</v>
      </c>
      <c r="H15" s="10" t="s">
        <v>15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5" x14ac:dyDescent="0.2">
      <c r="B16" s="198" t="s">
        <v>29</v>
      </c>
      <c r="C16" s="23"/>
      <c r="D16" s="24"/>
      <c r="E16" s="57"/>
      <c r="F16" s="10" t="s">
        <v>8</v>
      </c>
      <c r="G16" s="159" t="s">
        <v>39</v>
      </c>
      <c r="H16" s="9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5" x14ac:dyDescent="0.2">
      <c r="B17" s="199"/>
      <c r="C17" s="23"/>
      <c r="D17" s="24"/>
      <c r="E17" s="57"/>
      <c r="F17" s="10" t="s">
        <v>8</v>
      </c>
      <c r="G17" s="159" t="s">
        <v>39</v>
      </c>
      <c r="H17" s="9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5" x14ac:dyDescent="0.2">
      <c r="B18" s="199"/>
      <c r="C18" s="23"/>
      <c r="D18" s="24"/>
      <c r="E18" s="154"/>
      <c r="F18" s="10" t="s">
        <v>8</v>
      </c>
      <c r="G18" s="159" t="s">
        <v>39</v>
      </c>
      <c r="H18" s="9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5" x14ac:dyDescent="0.2">
      <c r="B19" s="199"/>
      <c r="C19" s="23"/>
      <c r="D19" s="42"/>
      <c r="E19" s="155"/>
      <c r="F19" s="10" t="s">
        <v>8</v>
      </c>
      <c r="G19" s="159" t="s">
        <v>39</v>
      </c>
      <c r="H19" s="9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5" x14ac:dyDescent="0.2">
      <c r="B20" s="199"/>
      <c r="C20" s="23"/>
      <c r="D20" s="24"/>
      <c r="E20" s="57"/>
      <c r="F20" s="10" t="s">
        <v>8</v>
      </c>
      <c r="G20" s="159" t="s">
        <v>39</v>
      </c>
      <c r="H20" s="9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5" x14ac:dyDescent="0.2">
      <c r="B21" s="199"/>
      <c r="C21" s="23"/>
      <c r="D21" s="24"/>
      <c r="E21" s="57"/>
      <c r="F21" s="10" t="s">
        <v>8</v>
      </c>
      <c r="G21" s="159" t="s">
        <v>39</v>
      </c>
      <c r="H21" s="9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5" x14ac:dyDescent="0.2">
      <c r="B22" s="199"/>
      <c r="C22" s="23"/>
      <c r="D22" s="24"/>
      <c r="E22" s="57"/>
      <c r="F22" s="10" t="s">
        <v>8</v>
      </c>
      <c r="G22" s="159" t="s">
        <v>39</v>
      </c>
      <c r="H22" s="9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5" x14ac:dyDescent="0.2">
      <c r="B23" s="199"/>
      <c r="C23" s="23"/>
      <c r="D23" s="24"/>
      <c r="E23" s="57"/>
      <c r="F23" s="10" t="s">
        <v>8</v>
      </c>
      <c r="G23" s="159" t="s">
        <v>39</v>
      </c>
      <c r="H23" s="9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5" x14ac:dyDescent="0.2">
      <c r="B24" s="199"/>
      <c r="C24" s="23"/>
      <c r="D24" s="24"/>
      <c r="E24" s="57"/>
      <c r="F24" s="10" t="s">
        <v>8</v>
      </c>
      <c r="G24" s="159" t="s">
        <v>39</v>
      </c>
      <c r="H24" s="9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5" x14ac:dyDescent="0.2">
      <c r="B25" s="199"/>
      <c r="C25" s="23"/>
      <c r="D25" s="24"/>
      <c r="E25" s="57"/>
      <c r="F25" s="10" t="s">
        <v>8</v>
      </c>
      <c r="G25" s="159" t="s">
        <v>39</v>
      </c>
      <c r="H25" s="9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5" x14ac:dyDescent="0.2">
      <c r="B26" s="199"/>
      <c r="C26" s="23"/>
      <c r="D26" s="24"/>
      <c r="E26" s="57"/>
      <c r="F26" s="10" t="s">
        <v>8</v>
      </c>
      <c r="G26" s="159" t="s">
        <v>39</v>
      </c>
      <c r="H26" s="9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5" x14ac:dyDescent="0.2">
      <c r="B27" s="199"/>
      <c r="C27" s="23"/>
      <c r="D27" s="24"/>
      <c r="E27" s="57"/>
      <c r="F27" s="10" t="s">
        <v>8</v>
      </c>
      <c r="G27" s="159" t="s">
        <v>39</v>
      </c>
      <c r="H27" s="9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5" x14ac:dyDescent="0.2">
      <c r="B28" s="199"/>
      <c r="C28" s="23"/>
      <c r="D28" s="24"/>
      <c r="E28" s="57"/>
      <c r="F28" s="10" t="s">
        <v>8</v>
      </c>
      <c r="G28" s="159" t="s">
        <v>39</v>
      </c>
      <c r="H28" s="9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5" x14ac:dyDescent="0.2">
      <c r="B29" s="199"/>
      <c r="C29" s="23"/>
      <c r="D29" s="24"/>
      <c r="E29" s="57"/>
      <c r="F29" s="10" t="s">
        <v>8</v>
      </c>
      <c r="G29" s="159" t="s">
        <v>39</v>
      </c>
      <c r="H29" s="9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5" x14ac:dyDescent="0.2">
      <c r="B30" s="199"/>
      <c r="C30" s="23"/>
      <c r="D30" s="24"/>
      <c r="E30" s="57"/>
      <c r="F30" s="10" t="s">
        <v>8</v>
      </c>
      <c r="G30" s="159" t="s">
        <v>39</v>
      </c>
      <c r="H30" s="9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5" x14ac:dyDescent="0.2">
      <c r="B31" s="199"/>
      <c r="C31" s="23"/>
      <c r="D31" s="24"/>
      <c r="E31" s="57"/>
      <c r="F31" s="10" t="s">
        <v>8</v>
      </c>
      <c r="G31" s="159" t="s">
        <v>39</v>
      </c>
      <c r="H31" s="9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5" x14ac:dyDescent="0.2">
      <c r="B32" s="199"/>
      <c r="C32" s="23"/>
      <c r="D32" s="24"/>
      <c r="E32" s="57"/>
      <c r="F32" s="10" t="s">
        <v>8</v>
      </c>
      <c r="G32" s="159" t="s">
        <v>39</v>
      </c>
      <c r="H32" s="9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5" x14ac:dyDescent="0.2">
      <c r="B33" s="199"/>
      <c r="C33" s="23"/>
      <c r="D33" s="24"/>
      <c r="E33" s="154"/>
      <c r="F33" s="10" t="s">
        <v>8</v>
      </c>
      <c r="G33" s="159" t="s">
        <v>39</v>
      </c>
      <c r="H33" s="9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5" x14ac:dyDescent="0.2">
      <c r="B34" s="199"/>
      <c r="C34" s="43"/>
      <c r="D34" s="24"/>
      <c r="E34" s="156"/>
      <c r="F34" s="10" t="s">
        <v>8</v>
      </c>
      <c r="G34" s="159" t="s">
        <v>39</v>
      </c>
      <c r="H34" s="9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5" x14ac:dyDescent="0.2">
      <c r="B35" s="200"/>
      <c r="C35" s="43"/>
      <c r="D35" s="42"/>
      <c r="E35" s="156"/>
      <c r="F35" s="10" t="s">
        <v>8</v>
      </c>
      <c r="G35" s="159" t="s">
        <v>39</v>
      </c>
      <c r="H35" s="9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42.75" x14ac:dyDescent="0.2">
      <c r="B36" s="198" t="s">
        <v>152</v>
      </c>
      <c r="C36" s="25" t="s">
        <v>51</v>
      </c>
      <c r="D36" s="26" t="s">
        <v>52</v>
      </c>
      <c r="E36" s="157" t="s">
        <v>132</v>
      </c>
      <c r="F36" s="70" t="s">
        <v>5</v>
      </c>
      <c r="G36" s="159" t="s">
        <v>39</v>
      </c>
      <c r="H36" s="9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5" x14ac:dyDescent="0.2">
      <c r="B37" s="199"/>
      <c r="C37" s="25" t="s">
        <v>51</v>
      </c>
      <c r="D37" s="71" t="s">
        <v>53</v>
      </c>
      <c r="E37" s="157" t="s">
        <v>144</v>
      </c>
      <c r="F37" s="10" t="s">
        <v>5</v>
      </c>
      <c r="G37" s="159" t="s">
        <v>39</v>
      </c>
      <c r="H37" s="9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42.75" x14ac:dyDescent="0.25">
      <c r="B38" s="199"/>
      <c r="C38" s="25" t="s">
        <v>51</v>
      </c>
      <c r="D38" s="26" t="s">
        <v>55</v>
      </c>
      <c r="E38" s="157" t="s">
        <v>135</v>
      </c>
      <c r="F38" s="15" t="s">
        <v>9</v>
      </c>
      <c r="G38" s="159" t="s">
        <v>39</v>
      </c>
      <c r="H38" s="9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85.5" x14ac:dyDescent="0.25">
      <c r="B39" s="199"/>
      <c r="C39" s="25" t="s">
        <v>51</v>
      </c>
      <c r="D39" s="71" t="s">
        <v>57</v>
      </c>
      <c r="E39" s="157" t="s">
        <v>136</v>
      </c>
      <c r="F39" s="15" t="s">
        <v>11</v>
      </c>
      <c r="G39" s="159" t="s">
        <v>39</v>
      </c>
      <c r="H39" s="9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5" x14ac:dyDescent="0.2">
      <c r="B40" s="199"/>
      <c r="C40" s="25" t="s">
        <v>54</v>
      </c>
      <c r="D40" s="26" t="s">
        <v>133</v>
      </c>
      <c r="E40" s="157" t="s">
        <v>134</v>
      </c>
      <c r="F40" s="10" t="s">
        <v>6</v>
      </c>
      <c r="G40" s="159" t="s">
        <v>39</v>
      </c>
      <c r="H40" s="9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42.75" x14ac:dyDescent="0.2">
      <c r="B41" s="200"/>
      <c r="C41" s="25" t="s">
        <v>56</v>
      </c>
      <c r="D41" s="71" t="s">
        <v>137</v>
      </c>
      <c r="E41" s="157" t="s">
        <v>58</v>
      </c>
      <c r="F41" s="10" t="s">
        <v>7</v>
      </c>
      <c r="G41" s="159" t="s">
        <v>39</v>
      </c>
      <c r="H41" s="9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5" x14ac:dyDescent="0.25">
      <c r="B42" s="198" t="s">
        <v>153</v>
      </c>
      <c r="C42" s="27" t="s">
        <v>60</v>
      </c>
      <c r="D42" s="28" t="s">
        <v>61</v>
      </c>
      <c r="E42" s="158" t="s">
        <v>62</v>
      </c>
      <c r="F42" s="15" t="s">
        <v>9</v>
      </c>
      <c r="G42" s="159" t="s">
        <v>39</v>
      </c>
      <c r="H42" s="9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5" x14ac:dyDescent="0.25">
      <c r="B43" s="200"/>
      <c r="C43" s="27" t="s">
        <v>63</v>
      </c>
      <c r="D43" s="28" t="s">
        <v>64</v>
      </c>
      <c r="E43" s="158" t="s">
        <v>65</v>
      </c>
      <c r="F43" s="15" t="s">
        <v>10</v>
      </c>
      <c r="G43" s="159" t="s">
        <v>39</v>
      </c>
      <c r="H43" s="9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x14ac:dyDescent="0.2">
      <c r="B44" s="7"/>
      <c r="C44" s="7"/>
      <c r="D44" s="7"/>
      <c r="E44" s="7"/>
      <c r="F44" s="7"/>
      <c r="G44" s="7"/>
      <c r="H44" s="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x14ac:dyDescent="0.2">
      <c r="B45" s="7"/>
      <c r="C45" s="7"/>
      <c r="D45" s="7"/>
      <c r="E45" s="7"/>
      <c r="F45" s="7"/>
      <c r="G45" s="7"/>
      <c r="H45" s="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5" x14ac:dyDescent="0.25">
      <c r="B46" s="29" t="s">
        <v>66</v>
      </c>
      <c r="C46" s="30"/>
      <c r="D46" s="29"/>
      <c r="E46" s="2"/>
      <c r="F46" s="4"/>
      <c r="G46" s="4"/>
      <c r="H46" s="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x14ac:dyDescent="0.2">
      <c r="B47" s="31" t="s">
        <v>44</v>
      </c>
      <c r="C47" s="185" t="s">
        <v>67</v>
      </c>
      <c r="D47" s="186"/>
      <c r="E47" s="186"/>
      <c r="F47" s="186"/>
      <c r="G47" s="186"/>
      <c r="H47" s="18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x14ac:dyDescent="0.2">
      <c r="B48" s="32" t="s">
        <v>42</v>
      </c>
      <c r="C48" s="152" t="s">
        <v>68</v>
      </c>
      <c r="D48" s="153"/>
      <c r="E48" s="153"/>
      <c r="F48" s="153"/>
      <c r="G48" s="153"/>
      <c r="H48" s="15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x14ac:dyDescent="0.2">
      <c r="B49" s="33" t="s">
        <v>43</v>
      </c>
      <c r="C49" s="185" t="s">
        <v>69</v>
      </c>
      <c r="D49" s="186"/>
      <c r="E49" s="186"/>
      <c r="F49" s="186"/>
      <c r="G49" s="186"/>
      <c r="H49" s="18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x14ac:dyDescent="0.2">
      <c r="B50" s="34" t="s">
        <v>45</v>
      </c>
      <c r="C50" s="185" t="s">
        <v>70</v>
      </c>
      <c r="D50" s="186"/>
      <c r="E50" s="186"/>
      <c r="F50" s="186"/>
      <c r="G50" s="186"/>
      <c r="H50" s="1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x14ac:dyDescent="0.2">
      <c r="B51" s="35" t="s">
        <v>46</v>
      </c>
      <c r="C51" s="185" t="s">
        <v>71</v>
      </c>
      <c r="D51" s="186"/>
      <c r="E51" s="186"/>
      <c r="F51" s="186"/>
      <c r="G51" s="186"/>
      <c r="H51" s="18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x14ac:dyDescent="0.2">
      <c r="B52" s="36" t="s">
        <v>47</v>
      </c>
      <c r="C52" s="185" t="s">
        <v>72</v>
      </c>
      <c r="D52" s="186"/>
      <c r="E52" s="186"/>
      <c r="F52" s="186"/>
      <c r="G52" s="186"/>
      <c r="H52" s="186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6.5" x14ac:dyDescent="0.3">
      <c r="B53" s="37"/>
      <c r="C53" s="37"/>
      <c r="D53" s="37"/>
      <c r="E53" s="37"/>
      <c r="F53" s="37"/>
      <c r="G53" s="37"/>
      <c r="H53" s="37"/>
    </row>
  </sheetData>
  <sheetProtection autoFilter="0"/>
  <mergeCells count="16">
    <mergeCell ref="B14:B15"/>
    <mergeCell ref="B16:B35"/>
    <mergeCell ref="B36:B41"/>
    <mergeCell ref="B42:B43"/>
    <mergeCell ref="C47:H47"/>
    <mergeCell ref="C50:H50"/>
    <mergeCell ref="C49:H49"/>
    <mergeCell ref="C51:H51"/>
    <mergeCell ref="C52:H52"/>
    <mergeCell ref="C2:E2"/>
    <mergeCell ref="G5:G7"/>
    <mergeCell ref="G8:G11"/>
    <mergeCell ref="C14:C15"/>
    <mergeCell ref="D14:D15"/>
    <mergeCell ref="E14:E15"/>
    <mergeCell ref="F14:H14"/>
  </mergeCells>
  <conditionalFormatting sqref="H16:H43">
    <cfRule type="cellIs" dxfId="27" priority="2" operator="equal">
      <formula>$B$52</formula>
    </cfRule>
    <cfRule type="cellIs" dxfId="26" priority="3" operator="equal">
      <formula>$B$51</formula>
    </cfRule>
    <cfRule type="cellIs" dxfId="25" priority="4" operator="equal">
      <formula>$B$49</formula>
    </cfRule>
    <cfRule type="cellIs" dxfId="24" priority="5" operator="equal">
      <formula>$B$50</formula>
    </cfRule>
    <cfRule type="cellIs" dxfId="23" priority="6" operator="equal">
      <formula>$B$48</formula>
    </cfRule>
    <cfRule type="cellIs" dxfId="22" priority="7" operator="equal">
      <formula>$B$47</formula>
    </cfRule>
  </conditionalFormatting>
  <dataValidations count="1">
    <dataValidation type="list" allowBlank="1" showInputMessage="1" showErrorMessage="1" sqref="H16:H43" xr:uid="{E56F346D-D09F-4F16-A16B-0CDCECD7982F}">
      <formula1>$B$47:$B$52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outlinePr summaryBelow="0" summaryRight="0"/>
  </sheetPr>
  <dimension ref="A1:Y47"/>
  <sheetViews>
    <sheetView showGridLines="0" topLeftCell="P1" zoomScale="85" zoomScaleNormal="85" workbookViewId="0">
      <selection activeCell="X15" sqref="X15"/>
    </sheetView>
  </sheetViews>
  <sheetFormatPr baseColWidth="10" defaultColWidth="12.625" defaultRowHeight="14.25" x14ac:dyDescent="0.2"/>
  <cols>
    <col min="1" max="1" width="2.25" style="76" customWidth="1"/>
    <col min="2" max="2" width="15.625" style="76" customWidth="1"/>
    <col min="3" max="3" width="26.875" style="76" customWidth="1"/>
    <col min="4" max="4" width="12.625" style="76" customWidth="1"/>
    <col min="5" max="5" width="13.75" style="76" bestFit="1" customWidth="1"/>
    <col min="6" max="6" width="51.125" style="76" customWidth="1"/>
    <col min="7" max="7" width="53.625" style="76" customWidth="1"/>
    <col min="8" max="8" width="11.75" style="76" bestFit="1" customWidth="1"/>
    <col min="9" max="13" width="11.5" style="76" customWidth="1"/>
    <col min="14" max="14" width="17.375" style="76" customWidth="1"/>
    <col min="15" max="15" width="12.375" style="76" bestFit="1" customWidth="1"/>
    <col min="16" max="16" width="12.625" style="76"/>
    <col min="17" max="17" width="21" style="76" customWidth="1"/>
    <col min="18" max="18" width="11.75" style="76" customWidth="1"/>
    <col min="19" max="19" width="18.5" style="76" customWidth="1"/>
    <col min="20" max="20" width="22.375" style="76" customWidth="1"/>
    <col min="21" max="21" width="19.75" style="76" customWidth="1"/>
    <col min="22" max="22" width="23.375" style="76" customWidth="1"/>
    <col min="23" max="23" width="20.875" style="76" customWidth="1"/>
    <col min="24" max="24" width="20.375" style="76" customWidth="1"/>
    <col min="25" max="25" width="11.75" style="76" bestFit="1" customWidth="1"/>
    <col min="26" max="16384" width="12.625" style="76"/>
  </cols>
  <sheetData>
    <row r="1" spans="1:25" ht="15" thickBot="1" x14ac:dyDescent="0.25">
      <c r="C1" s="77"/>
      <c r="H1" s="77"/>
      <c r="I1" s="77"/>
      <c r="J1" s="78"/>
      <c r="K1" s="77"/>
      <c r="L1" s="77"/>
      <c r="M1" s="77"/>
      <c r="N1" s="79"/>
    </row>
    <row r="2" spans="1:25" ht="15" thickBot="1" x14ac:dyDescent="0.25">
      <c r="B2" s="205" t="str">
        <f>CONCATENATE("Pruebas de Certificación del Sistema 
",TEXT('PLAN DE EJECUCION'!D5, "dd/mm/yyyy")," - ",TEXT('PLAN DE EJECUCION'!E11, "dd/mm/yyyy"))</f>
        <v>Pruebas de Certificación del Sistema 
00/01/1900 - 00/01/1900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7"/>
    </row>
    <row r="3" spans="1:25" ht="15.75" thickBot="1" x14ac:dyDescent="0.3">
      <c r="A3" s="80"/>
      <c r="B3" s="81"/>
      <c r="C3" s="82"/>
      <c r="D3" s="80"/>
      <c r="E3" s="80"/>
      <c r="F3" s="80"/>
      <c r="G3" s="80"/>
      <c r="H3" s="82"/>
      <c r="I3" s="82"/>
      <c r="J3" s="82"/>
      <c r="K3" s="82"/>
      <c r="L3" s="82"/>
      <c r="M3" s="82"/>
      <c r="N3" s="83"/>
      <c r="O3" s="80"/>
    </row>
    <row r="4" spans="1:25" ht="15" thickBot="1" x14ac:dyDescent="0.25">
      <c r="C4" s="77"/>
      <c r="F4" s="208" t="str">
        <f>CONCATENATE("Resumen de Incidencias de la Revisión Funcional y Técnicas - Sistema ",'PLAN DE EJECUCION'!$F$2)</f>
        <v>Resumen de Incidencias de la Revisión Funcional y Técnicas - Sistema [Nombre de Sistema]</v>
      </c>
      <c r="G4" s="209"/>
      <c r="H4" s="209"/>
      <c r="I4" s="209"/>
      <c r="J4" s="209"/>
      <c r="K4" s="209"/>
      <c r="L4" s="209"/>
      <c r="M4" s="209"/>
      <c r="N4" s="209"/>
      <c r="O4" s="210"/>
      <c r="Q4" s="211" t="str">
        <f>CONCATENATE("Resumen de Avance de la Revisión Funcional y Técnicas - Sistema ",'PLAN DE EJECUCION'!$F$2)</f>
        <v>Resumen de Avance de la Revisión Funcional y Técnicas - Sistema [Nombre de Sistema]</v>
      </c>
      <c r="R4" s="206"/>
      <c r="S4" s="206"/>
      <c r="T4" s="206"/>
      <c r="U4" s="206"/>
      <c r="V4" s="206"/>
      <c r="W4" s="206"/>
      <c r="X4" s="206"/>
      <c r="Y4" s="207"/>
    </row>
    <row r="5" spans="1:25" s="161" customFormat="1" ht="45.75" thickBot="1" x14ac:dyDescent="0.25">
      <c r="B5" s="84" t="s">
        <v>14</v>
      </c>
      <c r="C5" s="85" t="s">
        <v>16</v>
      </c>
      <c r="D5" s="84" t="s">
        <v>17</v>
      </c>
      <c r="E5" s="85" t="s">
        <v>20</v>
      </c>
      <c r="F5" s="84" t="s">
        <v>21</v>
      </c>
      <c r="G5" s="86" t="s">
        <v>23</v>
      </c>
      <c r="H5" s="86" t="s">
        <v>27</v>
      </c>
      <c r="I5" s="162" t="s">
        <v>31</v>
      </c>
      <c r="J5" s="163" t="s">
        <v>32</v>
      </c>
      <c r="K5" s="164" t="s">
        <v>34</v>
      </c>
      <c r="L5" s="165" t="s">
        <v>37</v>
      </c>
      <c r="M5" s="166" t="s">
        <v>38</v>
      </c>
      <c r="N5" s="84" t="s">
        <v>40</v>
      </c>
      <c r="O5" s="86" t="s">
        <v>120</v>
      </c>
      <c r="Q5" s="84" t="s">
        <v>40</v>
      </c>
      <c r="R5" s="85" t="s">
        <v>41</v>
      </c>
      <c r="S5" s="132" t="s">
        <v>42</v>
      </c>
      <c r="T5" s="133" t="s">
        <v>43</v>
      </c>
      <c r="U5" s="134" t="s">
        <v>44</v>
      </c>
      <c r="V5" s="135" t="s">
        <v>45</v>
      </c>
      <c r="W5" s="136" t="s">
        <v>46</v>
      </c>
      <c r="X5" s="137" t="s">
        <v>47</v>
      </c>
      <c r="Y5" s="146" t="s">
        <v>48</v>
      </c>
    </row>
    <row r="6" spans="1:25" ht="15.75" thickBot="1" x14ac:dyDescent="0.25">
      <c r="B6" s="198" t="s">
        <v>29</v>
      </c>
      <c r="C6" s="92"/>
      <c r="D6" s="93"/>
      <c r="E6" s="94" t="s">
        <v>49</v>
      </c>
      <c r="F6" s="95"/>
      <c r="G6" s="74"/>
      <c r="H6" s="96">
        <f t="shared" ref="H6:H33" si="0">SUM(I6,J6,L6,M6)</f>
        <v>0</v>
      </c>
      <c r="I6" s="97">
        <f t="array" ref="I6">SUMPRODUCT(COUNTIFS('CONSOLIDADO DE INCIDENCIAS'!$M$2:$M$50, 'AVANCE EJECUCIÓN '!$D6, 'CONSOLIDADO DE INCIDENCIAS'!$D$2:$D$50, 'CONSOLIDADO DE INCIDENCIAS'!$B$58:$B$59))</f>
        <v>0</v>
      </c>
      <c r="J6" s="97">
        <f t="array" ref="J6">SUMPRODUCT(COUNTIFS('CONSOLIDADO DE INCIDENCIAS'!$M$2:$M$50, 'AVANCE EJECUCIÓN '!$D6, 'CONSOLIDADO DE INCIDENCIAS'!$D$2:$D$50, 'CONSOLIDADO DE INCIDENCIAS'!$B$55:$B$57))</f>
        <v>0</v>
      </c>
      <c r="K6" s="97">
        <f t="array" ref="K6">SUMPRODUCT(COUNTIFS('CONSOLIDADO DE INCIDENCIAS'!$M$2:$M$50, 'AVANCE EJECUCIÓN '!$D6, 'CONSOLIDADO DE INCIDENCIAS'!$W$2:$W$50, 'CONSOLIDADO DE INCIDENCIAS'!$B$55:$B$57))</f>
        <v>0</v>
      </c>
      <c r="L6" s="97">
        <f>COUNTIFS('CONSOLIDADO DE INCIDENCIAS'!$M$2:$M$50,'AVANCE EJECUCIÓN '!$D6,'CONSOLIDADO DE INCIDENCIAS'!$D$2:$D$50,'CONSOLIDADO DE INCIDENCIAS'!$B$60)</f>
        <v>0</v>
      </c>
      <c r="M6" s="97">
        <f>COUNTIFS('CONSOLIDADO DE INCIDENCIAS'!$M$2:$M$50,'AVANCE EJECUCIÓN '!$D6,'CONSOLIDADO DE INCIDENCIAS'!$D$2:$D$50,'CONSOLIDADO DE INCIDENCIAS'!$B$61)</f>
        <v>0</v>
      </c>
      <c r="N6" s="98" t="s">
        <v>39</v>
      </c>
      <c r="O6" s="99"/>
      <c r="Q6" s="100" t="s">
        <v>39</v>
      </c>
      <c r="R6" s="101">
        <f t="shared" ref="R6:R10" si="1">SUM(S6:X6)</f>
        <v>0</v>
      </c>
      <c r="S6" s="138">
        <f>COUNTIFS($N$6:$N$33,$Q6,$O$6:$O$33,$B$42)</f>
        <v>0</v>
      </c>
      <c r="T6" s="139">
        <f>COUNTIFS($N$6:$N$33,$Q6,$O$6:$O$33,$B$43)</f>
        <v>0</v>
      </c>
      <c r="U6" s="139">
        <f>COUNTIFS($N$6:$N$33,$Q6,$O$6:$O$33,$B$41)</f>
        <v>0</v>
      </c>
      <c r="V6" s="139">
        <f>COUNTIFS($N$6:$N$33,$Q6,$O$6:$O$33,$B$44)</f>
        <v>0</v>
      </c>
      <c r="W6" s="139">
        <f>COUNTIFS($N$6:$N$33,$Q6,$O$6:$O$33,$B$45)</f>
        <v>0</v>
      </c>
      <c r="X6" s="144">
        <f>COUNTIFS($N$6:$N$33,$Q6,$O$6:$O$33,$B$46)</f>
        <v>0</v>
      </c>
      <c r="Y6" s="143">
        <f>IFERROR(($X6+$W6+V6)/$R6, 0)</f>
        <v>0</v>
      </c>
    </row>
    <row r="7" spans="1:25" ht="15.75" thickBot="1" x14ac:dyDescent="0.25">
      <c r="B7" s="199"/>
      <c r="C7" s="92"/>
      <c r="D7" s="93"/>
      <c r="E7" s="94" t="s">
        <v>87</v>
      </c>
      <c r="F7" s="95"/>
      <c r="G7" s="75"/>
      <c r="H7" s="102">
        <f t="shared" si="0"/>
        <v>0</v>
      </c>
      <c r="I7" s="103">
        <f t="array" ref="I7">SUMPRODUCT(COUNTIFS('CONSOLIDADO DE INCIDENCIAS'!$M$2:$M$50, 'AVANCE EJECUCIÓN '!$D7, 'CONSOLIDADO DE INCIDENCIAS'!$D$2:$D$50, 'CONSOLIDADO DE INCIDENCIAS'!$B$58:$B$59))</f>
        <v>0</v>
      </c>
      <c r="J7" s="103">
        <f t="array" ref="J7">SUMPRODUCT(COUNTIFS('CONSOLIDADO DE INCIDENCIAS'!$M$2:$M$50, 'AVANCE EJECUCIÓN '!$D7, 'CONSOLIDADO DE INCIDENCIAS'!$D$2:$D$50, 'CONSOLIDADO DE INCIDENCIAS'!$B$55:$B$57))</f>
        <v>0</v>
      </c>
      <c r="K7" s="103">
        <f t="array" ref="K7">SUMPRODUCT(COUNTIFS('CONSOLIDADO DE INCIDENCIAS'!$M$2:$M$50, 'AVANCE EJECUCIÓN '!$D7, 'CONSOLIDADO DE INCIDENCIAS'!$W$2:$W$50, 'CONSOLIDADO DE INCIDENCIAS'!$B$55:$B$57))</f>
        <v>0</v>
      </c>
      <c r="L7" s="103">
        <f>COUNTIFS('CONSOLIDADO DE INCIDENCIAS'!$M$2:$M$50,'AVANCE EJECUCIÓN '!$D7,'CONSOLIDADO DE INCIDENCIAS'!$D$2:$D$50,'CONSOLIDADO DE INCIDENCIAS'!$B$60)</f>
        <v>0</v>
      </c>
      <c r="M7" s="103">
        <f>COUNTIFS('CONSOLIDADO DE INCIDENCIAS'!$M$2:$M$50,'AVANCE EJECUCIÓN '!$D7,'CONSOLIDADO DE INCIDENCIAS'!$D$2:$D$50,'CONSOLIDADO DE INCIDENCIAS'!$B$61)</f>
        <v>0</v>
      </c>
      <c r="N7" s="95" t="s">
        <v>39</v>
      </c>
      <c r="O7" s="99"/>
      <c r="Q7" s="104"/>
      <c r="R7" s="101">
        <f t="shared" si="1"/>
        <v>0</v>
      </c>
      <c r="S7" s="138">
        <f>COUNTIFS($N$6:$N$33,$Q7,$O$6:$O$33,$B$42)</f>
        <v>0</v>
      </c>
      <c r="T7" s="139">
        <f>COUNTIFS($N$6:$N$33,$Q7,$O$6:$O$33,$B$43)</f>
        <v>0</v>
      </c>
      <c r="U7" s="139">
        <f>COUNTIFS($N$6:$N$33,$Q7,$O$6:$O$33,$B$41)</f>
        <v>0</v>
      </c>
      <c r="V7" s="139">
        <f>COUNTIFS($N$6:$N$33,$Q7,$O$6:$O$33,$B$44)</f>
        <v>0</v>
      </c>
      <c r="W7" s="139">
        <f>COUNTIFS($N$6:$N$33,$Q7,$O$6:$O$33,$B$45)</f>
        <v>0</v>
      </c>
      <c r="X7" s="144">
        <f>COUNTIFS($N$6:$N$33,$Q7,$O$6:$O$33,$B$46)</f>
        <v>0</v>
      </c>
      <c r="Y7" s="143">
        <f t="shared" ref="Y7:Y10" si="2">IFERROR(($X7+$W7+V7)/$R7, 0)</f>
        <v>0</v>
      </c>
    </row>
    <row r="8" spans="1:25" ht="15.75" thickBot="1" x14ac:dyDescent="0.25">
      <c r="B8" s="199"/>
      <c r="C8" s="92"/>
      <c r="D8" s="93"/>
      <c r="E8" s="94" t="s">
        <v>92</v>
      </c>
      <c r="F8" s="105"/>
      <c r="G8" s="105"/>
      <c r="H8" s="102">
        <f t="shared" si="0"/>
        <v>0</v>
      </c>
      <c r="I8" s="103">
        <f t="array" ref="I8">SUMPRODUCT(COUNTIFS('CONSOLIDADO DE INCIDENCIAS'!$M$2:$M$50, 'AVANCE EJECUCIÓN '!$D8, 'CONSOLIDADO DE INCIDENCIAS'!$D$2:$D$50, 'CONSOLIDADO DE INCIDENCIAS'!$B$58:$B$59))</f>
        <v>0</v>
      </c>
      <c r="J8" s="103">
        <f t="array" ref="J8">SUMPRODUCT(COUNTIFS('CONSOLIDADO DE INCIDENCIAS'!$M$2:$M$50, 'AVANCE EJECUCIÓN '!$D8, 'CONSOLIDADO DE INCIDENCIAS'!$D$2:$D$50, 'CONSOLIDADO DE INCIDENCIAS'!$B$55:$B$57))</f>
        <v>0</v>
      </c>
      <c r="K8" s="103">
        <f t="array" ref="K8">SUMPRODUCT(COUNTIFS('CONSOLIDADO DE INCIDENCIAS'!$M$2:$M$50, 'AVANCE EJECUCIÓN '!$D8, 'CONSOLIDADO DE INCIDENCIAS'!$W$2:$W$50, 'CONSOLIDADO DE INCIDENCIAS'!$B$55:$B$57))</f>
        <v>0</v>
      </c>
      <c r="L8" s="103">
        <f>COUNTIFS('CONSOLIDADO DE INCIDENCIAS'!$M$2:$M$50,'AVANCE EJECUCIÓN '!$D8,'CONSOLIDADO DE INCIDENCIAS'!$D$2:$D$50,'CONSOLIDADO DE INCIDENCIAS'!$B$60)</f>
        <v>0</v>
      </c>
      <c r="M8" s="103">
        <f>COUNTIFS('CONSOLIDADO DE INCIDENCIAS'!$M$2:$M$50,'AVANCE EJECUCIÓN '!$D8,'CONSOLIDADO DE INCIDENCIAS'!$D$2:$D$50,'CONSOLIDADO DE INCIDENCIAS'!$B$61)</f>
        <v>0</v>
      </c>
      <c r="N8" s="95" t="s">
        <v>39</v>
      </c>
      <c r="O8" s="99"/>
      <c r="Q8" s="104"/>
      <c r="R8" s="101">
        <f t="shared" si="1"/>
        <v>0</v>
      </c>
      <c r="S8" s="138">
        <f>COUNTIFS($N$6:$N$33,$Q8,$O$6:$O$33,$B$42)</f>
        <v>0</v>
      </c>
      <c r="T8" s="139">
        <f>COUNTIFS($N$6:$N$33,$Q8,$O$6:$O$33,$B$43)</f>
        <v>0</v>
      </c>
      <c r="U8" s="139">
        <f>COUNTIFS($N$6:$N$33,$Q8,$O$6:$O$33,$B$41)</f>
        <v>0</v>
      </c>
      <c r="V8" s="139">
        <f>COUNTIFS($N$6:$N$33,$Q8,$O$6:$O$33,$B$44)</f>
        <v>0</v>
      </c>
      <c r="W8" s="139">
        <f>COUNTIFS($N$6:$N$33,$Q8,$O$6:$O$33,$B$45)</f>
        <v>0</v>
      </c>
      <c r="X8" s="144">
        <f>COUNTIFS($N$6:$N$33,$Q8,$O$6:$O$33,$B$46)</f>
        <v>0</v>
      </c>
      <c r="Y8" s="143">
        <f t="shared" si="2"/>
        <v>0</v>
      </c>
    </row>
    <row r="9" spans="1:25" ht="15.75" thickBot="1" x14ac:dyDescent="0.25">
      <c r="B9" s="199"/>
      <c r="C9" s="92"/>
      <c r="D9" s="93"/>
      <c r="E9" s="94" t="s">
        <v>93</v>
      </c>
      <c r="F9" s="95"/>
      <c r="G9" s="105"/>
      <c r="H9" s="102">
        <f t="shared" si="0"/>
        <v>0</v>
      </c>
      <c r="I9" s="103">
        <f t="array" ref="I9">SUMPRODUCT(COUNTIFS('CONSOLIDADO DE INCIDENCIAS'!$M$2:$M$50, 'AVANCE EJECUCIÓN '!$D9, 'CONSOLIDADO DE INCIDENCIAS'!$D$2:$D$50, 'CONSOLIDADO DE INCIDENCIAS'!$B$58:$B$59))</f>
        <v>0</v>
      </c>
      <c r="J9" s="103">
        <f t="array" ref="J9">SUMPRODUCT(COUNTIFS('CONSOLIDADO DE INCIDENCIAS'!$M$2:$M$50, 'AVANCE EJECUCIÓN '!$D9, 'CONSOLIDADO DE INCIDENCIAS'!$D$2:$D$50, 'CONSOLIDADO DE INCIDENCIAS'!$B$55:$B$57))</f>
        <v>0</v>
      </c>
      <c r="K9" s="103">
        <f t="array" ref="K9">SUMPRODUCT(COUNTIFS('CONSOLIDADO DE INCIDENCIAS'!$M$2:$M$50, 'AVANCE EJECUCIÓN '!$D9, 'CONSOLIDADO DE INCIDENCIAS'!$W$2:$W$50, 'CONSOLIDADO DE INCIDENCIAS'!$B$55:$B$57))</f>
        <v>0</v>
      </c>
      <c r="L9" s="103">
        <f>COUNTIFS('CONSOLIDADO DE INCIDENCIAS'!$M$2:$M$50,'AVANCE EJECUCIÓN '!$D9,'CONSOLIDADO DE INCIDENCIAS'!$D$2:$D$50,'CONSOLIDADO DE INCIDENCIAS'!$B$60)</f>
        <v>0</v>
      </c>
      <c r="M9" s="103">
        <f>COUNTIFS('CONSOLIDADO DE INCIDENCIAS'!$M$2:$M$50,'AVANCE EJECUCIÓN '!$D9,'CONSOLIDADO DE INCIDENCIAS'!$D$2:$D$50,'CONSOLIDADO DE INCIDENCIAS'!$B$61)</f>
        <v>0</v>
      </c>
      <c r="N9" s="95" t="s">
        <v>39</v>
      </c>
      <c r="O9" s="99"/>
      <c r="Q9" s="106"/>
      <c r="R9" s="101">
        <f t="shared" si="1"/>
        <v>0</v>
      </c>
      <c r="S9" s="138">
        <f>COUNTIFS($N$6:$N$33,$Q9,$O$6:$O$33,$B$42)</f>
        <v>0</v>
      </c>
      <c r="T9" s="139">
        <f>COUNTIFS($N$6:$N$33,$Q9,$O$6:$O$33,$B$43)</f>
        <v>0</v>
      </c>
      <c r="U9" s="139">
        <f>COUNTIFS($N$6:$N$33,$Q9,$O$6:$O$33,$B$41)</f>
        <v>0</v>
      </c>
      <c r="V9" s="139">
        <f>COUNTIFS($N$6:$N$33,$Q9,$O$6:$O$33,$B$44)</f>
        <v>0</v>
      </c>
      <c r="W9" s="139">
        <f>COUNTIFS($N$6:$N$33,$Q9,$O$6:$O$33,$B$45)</f>
        <v>0</v>
      </c>
      <c r="X9" s="144">
        <f>COUNTIFS($N$6:$N$33,$Q9,$O$6:$O$33,$B$46)</f>
        <v>0</v>
      </c>
      <c r="Y9" s="143">
        <f t="shared" si="2"/>
        <v>0</v>
      </c>
    </row>
    <row r="10" spans="1:25" ht="15.75" thickBot="1" x14ac:dyDescent="0.25">
      <c r="B10" s="199"/>
      <c r="C10" s="92"/>
      <c r="D10" s="93"/>
      <c r="E10" s="94" t="s">
        <v>94</v>
      </c>
      <c r="F10" s="95"/>
      <c r="G10" s="95"/>
      <c r="H10" s="96">
        <f t="shared" si="0"/>
        <v>0</v>
      </c>
      <c r="I10" s="97">
        <f t="array" ref="I10">SUMPRODUCT(COUNTIFS('CONSOLIDADO DE INCIDENCIAS'!$M$2:$M$50, 'AVANCE EJECUCIÓN '!$D10, 'CONSOLIDADO DE INCIDENCIAS'!$D$2:$D$50, 'CONSOLIDADO DE INCIDENCIAS'!$B$58:$B$59))</f>
        <v>0</v>
      </c>
      <c r="J10" s="97">
        <f t="array" ref="J10">SUMPRODUCT(COUNTIFS('CONSOLIDADO DE INCIDENCIAS'!$M$2:$M$50, 'AVANCE EJECUCIÓN '!$D10, 'CONSOLIDADO DE INCIDENCIAS'!$D$2:$D$50, 'CONSOLIDADO DE INCIDENCIAS'!$B$55:$B$57))</f>
        <v>0</v>
      </c>
      <c r="K10" s="97">
        <f t="array" ref="K10">SUMPRODUCT(COUNTIFS('CONSOLIDADO DE INCIDENCIAS'!$M$2:$M$50, 'AVANCE EJECUCIÓN '!$D10, 'CONSOLIDADO DE INCIDENCIAS'!$W$2:$W$50, 'CONSOLIDADO DE INCIDENCIAS'!$B$55:$B$57))</f>
        <v>0</v>
      </c>
      <c r="L10" s="97">
        <f>COUNTIFS('CONSOLIDADO DE INCIDENCIAS'!$M$2:$M$50,'AVANCE EJECUCIÓN '!$D10,'CONSOLIDADO DE INCIDENCIAS'!$D$2:$D$50,'CONSOLIDADO DE INCIDENCIAS'!$B$60)</f>
        <v>0</v>
      </c>
      <c r="M10" s="97">
        <f>COUNTIFS('CONSOLIDADO DE INCIDENCIAS'!$M$2:$M$50,'AVANCE EJECUCIÓN '!$D10,'CONSOLIDADO DE INCIDENCIAS'!$D$2:$D$50,'CONSOLIDADO DE INCIDENCIAS'!$B$61)</f>
        <v>0</v>
      </c>
      <c r="N10" s="98" t="s">
        <v>39</v>
      </c>
      <c r="O10" s="99"/>
      <c r="Q10" s="100"/>
      <c r="R10" s="101">
        <f t="shared" si="1"/>
        <v>0</v>
      </c>
      <c r="S10" s="140">
        <f>COUNTIFS($N$6:$N$33,$Q10,$O$6:$O$33,$B$42)</f>
        <v>0</v>
      </c>
      <c r="T10" s="141">
        <f>COUNTIFS($N$6:$N$33,$Q10,$O$6:$O$33,$B$43)</f>
        <v>0</v>
      </c>
      <c r="U10" s="141">
        <f>COUNTIFS($N$6:$N$33,$Q10,$O$6:$O$33,$B$41)</f>
        <v>0</v>
      </c>
      <c r="V10" s="141">
        <f>COUNTIFS($N$6:$N$33,$Q10,$O$6:$O$33,$B$44)</f>
        <v>0</v>
      </c>
      <c r="W10" s="141">
        <f>COUNTIFS($N$6:$N$33,$Q10,$O$6:$O$33,$B$45)</f>
        <v>0</v>
      </c>
      <c r="X10" s="145">
        <f>COUNTIFS($N$6:$N$33,$Q10,$O$6:$O$33,$B$46)</f>
        <v>0</v>
      </c>
      <c r="Y10" s="143">
        <f t="shared" si="2"/>
        <v>0</v>
      </c>
    </row>
    <row r="11" spans="1:25" ht="16.5" thickTop="1" thickBot="1" x14ac:dyDescent="0.25">
      <c r="B11" s="199"/>
      <c r="C11" s="92"/>
      <c r="D11" s="93"/>
      <c r="E11" s="94" t="s">
        <v>95</v>
      </c>
      <c r="F11" s="95"/>
      <c r="G11" s="95"/>
      <c r="H11" s="102">
        <f t="shared" si="0"/>
        <v>0</v>
      </c>
      <c r="I11" s="103">
        <f t="array" ref="I11">SUMPRODUCT(COUNTIFS('CONSOLIDADO DE INCIDENCIAS'!$M$2:$M$50, 'AVANCE EJECUCIÓN '!$D11, 'CONSOLIDADO DE INCIDENCIAS'!$D$2:$D$50, 'CONSOLIDADO DE INCIDENCIAS'!$B$58:$B$59))</f>
        <v>0</v>
      </c>
      <c r="J11" s="103">
        <f t="array" ref="J11">SUMPRODUCT(COUNTIFS('CONSOLIDADO DE INCIDENCIAS'!$M$2:$M$50, 'AVANCE EJECUCIÓN '!$D11, 'CONSOLIDADO DE INCIDENCIAS'!$D$2:$D$50, 'CONSOLIDADO DE INCIDENCIAS'!$B$55:$B$57))</f>
        <v>0</v>
      </c>
      <c r="K11" s="103">
        <f t="array" ref="K11">SUMPRODUCT(COUNTIFS('CONSOLIDADO DE INCIDENCIAS'!$M$2:$M$50, 'AVANCE EJECUCIÓN '!$D11, 'CONSOLIDADO DE INCIDENCIAS'!$W$2:$W$50, 'CONSOLIDADO DE INCIDENCIAS'!$B$55:$B$57))</f>
        <v>0</v>
      </c>
      <c r="L11" s="103">
        <f>COUNTIFS('CONSOLIDADO DE INCIDENCIAS'!$M$2:$M$50,'AVANCE EJECUCIÓN '!$D11,'CONSOLIDADO DE INCIDENCIAS'!$D$2:$D$50,'CONSOLIDADO DE INCIDENCIAS'!$B$60)</f>
        <v>0</v>
      </c>
      <c r="M11" s="103">
        <f>COUNTIFS('CONSOLIDADO DE INCIDENCIAS'!$M$2:$M$50,'AVANCE EJECUCIÓN '!$D11,'CONSOLIDADO DE INCIDENCIAS'!$D$2:$D$50,'CONSOLIDADO DE INCIDENCIAS'!$B$61)</f>
        <v>0</v>
      </c>
      <c r="N11" s="95" t="s">
        <v>39</v>
      </c>
      <c r="O11" s="99"/>
      <c r="Q11" s="84" t="s">
        <v>96</v>
      </c>
      <c r="R11" s="84">
        <f>SUM($R6:$R10)</f>
        <v>0</v>
      </c>
      <c r="S11" s="142">
        <f t="shared" ref="S11:X11" si="3">SUM(S6:S10)</f>
        <v>0</v>
      </c>
      <c r="T11" s="142">
        <f t="shared" si="3"/>
        <v>0</v>
      </c>
      <c r="U11" s="142">
        <f t="shared" si="3"/>
        <v>0</v>
      </c>
      <c r="V11" s="84">
        <f t="shared" si="3"/>
        <v>0</v>
      </c>
      <c r="W11" s="84">
        <f t="shared" si="3"/>
        <v>0</v>
      </c>
      <c r="X11" s="147">
        <f t="shared" si="3"/>
        <v>0</v>
      </c>
      <c r="Y11" s="148">
        <f t="shared" ref="Y11" si="4">IFERROR(($X11+$W11+V11)/$R11, 0)</f>
        <v>0</v>
      </c>
    </row>
    <row r="12" spans="1:25" ht="15" x14ac:dyDescent="0.2">
      <c r="B12" s="199"/>
      <c r="C12" s="92"/>
      <c r="D12" s="93"/>
      <c r="E12" s="94" t="s">
        <v>97</v>
      </c>
      <c r="F12" s="95"/>
      <c r="G12" s="95"/>
      <c r="H12" s="102">
        <f t="shared" si="0"/>
        <v>0</v>
      </c>
      <c r="I12" s="103">
        <f t="array" ref="I12">SUMPRODUCT(COUNTIFS('CONSOLIDADO DE INCIDENCIAS'!$M$2:$M$50, 'AVANCE EJECUCIÓN '!$D12, 'CONSOLIDADO DE INCIDENCIAS'!$D$2:$D$50, 'CONSOLIDADO DE INCIDENCIAS'!$B$58:$B$59))</f>
        <v>0</v>
      </c>
      <c r="J12" s="103">
        <f t="array" ref="J12">SUMPRODUCT(COUNTIFS('CONSOLIDADO DE INCIDENCIAS'!$M$2:$M$50, 'AVANCE EJECUCIÓN '!$D12, 'CONSOLIDADO DE INCIDENCIAS'!$D$2:$D$50, 'CONSOLIDADO DE INCIDENCIAS'!$B$55:$B$57))</f>
        <v>0</v>
      </c>
      <c r="K12" s="103">
        <f t="array" ref="K12">SUMPRODUCT(COUNTIFS('CONSOLIDADO DE INCIDENCIAS'!$M$2:$M$50, 'AVANCE EJECUCIÓN '!$D12, 'CONSOLIDADO DE INCIDENCIAS'!$W$2:$W$50, 'CONSOLIDADO DE INCIDENCIAS'!$B$55:$B$57))</f>
        <v>0</v>
      </c>
      <c r="L12" s="103">
        <f>COUNTIFS('CONSOLIDADO DE INCIDENCIAS'!$M$2:$M$50,'AVANCE EJECUCIÓN '!$D12,'CONSOLIDADO DE INCIDENCIAS'!$D$2:$D$50,'CONSOLIDADO DE INCIDENCIAS'!$B$60)</f>
        <v>0</v>
      </c>
      <c r="M12" s="103">
        <f>COUNTIFS('CONSOLIDADO DE INCIDENCIAS'!$M$2:$M$50,'AVANCE EJECUCIÓN '!$D12,'CONSOLIDADO DE INCIDENCIAS'!$D$2:$D$50,'CONSOLIDADO DE INCIDENCIAS'!$B$61)</f>
        <v>0</v>
      </c>
      <c r="N12" s="95" t="s">
        <v>39</v>
      </c>
      <c r="O12" s="99"/>
    </row>
    <row r="13" spans="1:25" ht="15" x14ac:dyDescent="0.2">
      <c r="B13" s="199"/>
      <c r="C13" s="92"/>
      <c r="D13" s="93"/>
      <c r="E13" s="94" t="s">
        <v>98</v>
      </c>
      <c r="F13" s="95"/>
      <c r="G13" s="95"/>
      <c r="H13" s="102">
        <f t="shared" si="0"/>
        <v>0</v>
      </c>
      <c r="I13" s="103">
        <f t="array" ref="I13">SUMPRODUCT(COUNTIFS('CONSOLIDADO DE INCIDENCIAS'!$M$2:$M$50, 'AVANCE EJECUCIÓN '!$D13, 'CONSOLIDADO DE INCIDENCIAS'!$D$2:$D$50, 'CONSOLIDADO DE INCIDENCIAS'!$B$58:$B$59))</f>
        <v>0</v>
      </c>
      <c r="J13" s="103">
        <f t="array" ref="J13">SUMPRODUCT(COUNTIFS('CONSOLIDADO DE INCIDENCIAS'!$M$2:$M$50, 'AVANCE EJECUCIÓN '!$D13, 'CONSOLIDADO DE INCIDENCIAS'!$D$2:$D$50, 'CONSOLIDADO DE INCIDENCIAS'!$B$55:$B$57))</f>
        <v>0</v>
      </c>
      <c r="K13" s="103">
        <f t="array" ref="K13">SUMPRODUCT(COUNTIFS('CONSOLIDADO DE INCIDENCIAS'!$M$2:$M$50, 'AVANCE EJECUCIÓN '!$D13, 'CONSOLIDADO DE INCIDENCIAS'!$W$2:$W$50, 'CONSOLIDADO DE INCIDENCIAS'!$B$55:$B$57))</f>
        <v>0</v>
      </c>
      <c r="L13" s="103">
        <f>COUNTIFS('CONSOLIDADO DE INCIDENCIAS'!$M$2:$M$50,'AVANCE EJECUCIÓN '!$D13,'CONSOLIDADO DE INCIDENCIAS'!$D$2:$D$50,'CONSOLIDADO DE INCIDENCIAS'!$B$60)</f>
        <v>0</v>
      </c>
      <c r="M13" s="103">
        <f>COUNTIFS('CONSOLIDADO DE INCIDENCIAS'!$M$2:$M$50,'AVANCE EJECUCIÓN '!$D13,'CONSOLIDADO DE INCIDENCIAS'!$D$2:$D$50,'CONSOLIDADO DE INCIDENCIAS'!$B$61)</f>
        <v>0</v>
      </c>
      <c r="N13" s="95" t="s">
        <v>39</v>
      </c>
      <c r="O13" s="99"/>
    </row>
    <row r="14" spans="1:25" ht="15" x14ac:dyDescent="0.2">
      <c r="B14" s="199"/>
      <c r="C14" s="92"/>
      <c r="D14" s="93"/>
      <c r="E14" s="94" t="s">
        <v>99</v>
      </c>
      <c r="F14" s="95"/>
      <c r="G14" s="95"/>
      <c r="H14" s="96">
        <f t="shared" si="0"/>
        <v>0</v>
      </c>
      <c r="I14" s="97">
        <f t="array" ref="I14">SUMPRODUCT(COUNTIFS('CONSOLIDADO DE INCIDENCIAS'!$M$2:$M$50, 'AVANCE EJECUCIÓN '!$D14, 'CONSOLIDADO DE INCIDENCIAS'!$D$2:$D$50, 'CONSOLIDADO DE INCIDENCIAS'!$B$58:$B$59))</f>
        <v>0</v>
      </c>
      <c r="J14" s="97">
        <f t="array" ref="J14">SUMPRODUCT(COUNTIFS('CONSOLIDADO DE INCIDENCIAS'!$M$2:$M$50, 'AVANCE EJECUCIÓN '!$D14, 'CONSOLIDADO DE INCIDENCIAS'!$D$2:$D$50, 'CONSOLIDADO DE INCIDENCIAS'!$B$55:$B$57))</f>
        <v>0</v>
      </c>
      <c r="K14" s="97">
        <f t="array" ref="K14">SUMPRODUCT(COUNTIFS('CONSOLIDADO DE INCIDENCIAS'!$M$2:$M$50, 'AVANCE EJECUCIÓN '!$D14, 'CONSOLIDADO DE INCIDENCIAS'!$W$2:$W$50, 'CONSOLIDADO DE INCIDENCIAS'!$B$55:$B$57))</f>
        <v>0</v>
      </c>
      <c r="L14" s="97">
        <f>COUNTIFS('CONSOLIDADO DE INCIDENCIAS'!$M$2:$M$50,'AVANCE EJECUCIÓN '!$D14,'CONSOLIDADO DE INCIDENCIAS'!$D$2:$D$50,'CONSOLIDADO DE INCIDENCIAS'!$B$60)</f>
        <v>0</v>
      </c>
      <c r="M14" s="97">
        <f>COUNTIFS('CONSOLIDADO DE INCIDENCIAS'!$M$2:$M$50,'AVANCE EJECUCIÓN '!$D14,'CONSOLIDADO DE INCIDENCIAS'!$D$2:$D$50,'CONSOLIDADO DE INCIDENCIAS'!$B$61)</f>
        <v>0</v>
      </c>
      <c r="N14" s="98" t="s">
        <v>39</v>
      </c>
      <c r="O14" s="99"/>
    </row>
    <row r="15" spans="1:25" ht="15" x14ac:dyDescent="0.2">
      <c r="B15" s="199"/>
      <c r="C15" s="92"/>
      <c r="D15" s="93"/>
      <c r="E15" s="94" t="s">
        <v>100</v>
      </c>
      <c r="F15" s="95"/>
      <c r="G15" s="95"/>
      <c r="H15" s="102">
        <f t="shared" si="0"/>
        <v>0</v>
      </c>
      <c r="I15" s="103">
        <f t="array" ref="I15">SUMPRODUCT(COUNTIFS('CONSOLIDADO DE INCIDENCIAS'!$M$2:$M$50, 'AVANCE EJECUCIÓN '!$D15, 'CONSOLIDADO DE INCIDENCIAS'!$D$2:$D$50, 'CONSOLIDADO DE INCIDENCIAS'!$B$58:$B$59))</f>
        <v>0</v>
      </c>
      <c r="J15" s="103">
        <f t="array" ref="J15">SUMPRODUCT(COUNTIFS('CONSOLIDADO DE INCIDENCIAS'!$M$2:$M$50, 'AVANCE EJECUCIÓN '!$D15, 'CONSOLIDADO DE INCIDENCIAS'!$D$2:$D$50, 'CONSOLIDADO DE INCIDENCIAS'!$B$55:$B$57))</f>
        <v>0</v>
      </c>
      <c r="K15" s="103">
        <f t="array" ref="K15">SUMPRODUCT(COUNTIFS('CONSOLIDADO DE INCIDENCIAS'!$M$2:$M$50, 'AVANCE EJECUCIÓN '!$D15, 'CONSOLIDADO DE INCIDENCIAS'!$W$2:$W$50, 'CONSOLIDADO DE INCIDENCIAS'!$B$55:$B$57))</f>
        <v>0</v>
      </c>
      <c r="L15" s="103">
        <f>COUNTIFS('CONSOLIDADO DE INCIDENCIAS'!$M$2:$M$50,'AVANCE EJECUCIÓN '!$D15,'CONSOLIDADO DE INCIDENCIAS'!$D$2:$D$50,'CONSOLIDADO DE INCIDENCIAS'!$B$60)</f>
        <v>0</v>
      </c>
      <c r="M15" s="103">
        <f>COUNTIFS('CONSOLIDADO DE INCIDENCIAS'!$M$2:$M$50,'AVANCE EJECUCIÓN '!$D15,'CONSOLIDADO DE INCIDENCIAS'!$D$2:$D$50,'CONSOLIDADO DE INCIDENCIAS'!$B$61)</f>
        <v>0</v>
      </c>
      <c r="N15" s="95" t="s">
        <v>39</v>
      </c>
      <c r="O15" s="99"/>
    </row>
    <row r="16" spans="1:25" ht="15" x14ac:dyDescent="0.2">
      <c r="B16" s="199"/>
      <c r="C16" s="92"/>
      <c r="D16" s="93"/>
      <c r="E16" s="94" t="s">
        <v>101</v>
      </c>
      <c r="F16" s="95"/>
      <c r="G16" s="95"/>
      <c r="H16" s="102">
        <f t="shared" si="0"/>
        <v>0</v>
      </c>
      <c r="I16" s="103">
        <f t="array" ref="I16">SUMPRODUCT(COUNTIFS('CONSOLIDADO DE INCIDENCIAS'!$M$2:$M$50, 'AVANCE EJECUCIÓN '!$D16, 'CONSOLIDADO DE INCIDENCIAS'!$D$2:$D$50, 'CONSOLIDADO DE INCIDENCIAS'!$B$58:$B$59))</f>
        <v>0</v>
      </c>
      <c r="J16" s="103">
        <f t="array" ref="J16">SUMPRODUCT(COUNTIFS('CONSOLIDADO DE INCIDENCIAS'!$M$2:$M$50, 'AVANCE EJECUCIÓN '!$D16, 'CONSOLIDADO DE INCIDENCIAS'!$D$2:$D$50, 'CONSOLIDADO DE INCIDENCIAS'!$B$55:$B$57))</f>
        <v>0</v>
      </c>
      <c r="K16" s="103">
        <f t="array" ref="K16">SUMPRODUCT(COUNTIFS('CONSOLIDADO DE INCIDENCIAS'!$M$2:$M$50, 'AVANCE EJECUCIÓN '!$D16, 'CONSOLIDADO DE INCIDENCIAS'!$W$2:$W$50, 'CONSOLIDADO DE INCIDENCIAS'!$B$55:$B$57))</f>
        <v>0</v>
      </c>
      <c r="L16" s="103">
        <f>COUNTIFS('CONSOLIDADO DE INCIDENCIAS'!$M$2:$M$50,'AVANCE EJECUCIÓN '!$D16,'CONSOLIDADO DE INCIDENCIAS'!$D$2:$D$50,'CONSOLIDADO DE INCIDENCIAS'!$B$60)</f>
        <v>0</v>
      </c>
      <c r="M16" s="103">
        <f>COUNTIFS('CONSOLIDADO DE INCIDENCIAS'!$M$2:$M$50,'AVANCE EJECUCIÓN '!$D16,'CONSOLIDADO DE INCIDENCIAS'!$D$2:$D$50,'CONSOLIDADO DE INCIDENCIAS'!$B$61)</f>
        <v>0</v>
      </c>
      <c r="N16" s="95" t="s">
        <v>39</v>
      </c>
      <c r="O16" s="99"/>
    </row>
    <row r="17" spans="1:15" ht="15" x14ac:dyDescent="0.2">
      <c r="B17" s="199"/>
      <c r="C17" s="92"/>
      <c r="D17" s="93"/>
      <c r="E17" s="94" t="s">
        <v>102</v>
      </c>
      <c r="F17" s="95"/>
      <c r="G17" s="95"/>
      <c r="H17" s="102">
        <f t="shared" si="0"/>
        <v>0</v>
      </c>
      <c r="I17" s="103">
        <f t="array" ref="I17">SUMPRODUCT(COUNTIFS('CONSOLIDADO DE INCIDENCIAS'!$M$2:$M$50, 'AVANCE EJECUCIÓN '!$D17, 'CONSOLIDADO DE INCIDENCIAS'!$D$2:$D$50, 'CONSOLIDADO DE INCIDENCIAS'!$B$58:$B$59))</f>
        <v>0</v>
      </c>
      <c r="J17" s="103">
        <f t="array" ref="J17">SUMPRODUCT(COUNTIFS('CONSOLIDADO DE INCIDENCIAS'!$M$2:$M$50, 'AVANCE EJECUCIÓN '!$D17, 'CONSOLIDADO DE INCIDENCIAS'!$D$2:$D$50, 'CONSOLIDADO DE INCIDENCIAS'!$B$55:$B$57))</f>
        <v>0</v>
      </c>
      <c r="K17" s="103">
        <f t="array" ref="K17">SUMPRODUCT(COUNTIFS('CONSOLIDADO DE INCIDENCIAS'!$M$2:$M$50, 'AVANCE EJECUCIÓN '!$D17, 'CONSOLIDADO DE INCIDENCIAS'!$W$2:$W$50, 'CONSOLIDADO DE INCIDENCIAS'!$B$55:$B$57))</f>
        <v>0</v>
      </c>
      <c r="L17" s="103">
        <f>COUNTIFS('CONSOLIDADO DE INCIDENCIAS'!$M$2:$M$50,'AVANCE EJECUCIÓN '!$D17,'CONSOLIDADO DE INCIDENCIAS'!$D$2:$D$50,'CONSOLIDADO DE INCIDENCIAS'!$B$60)</f>
        <v>0</v>
      </c>
      <c r="M17" s="103">
        <f>COUNTIFS('CONSOLIDADO DE INCIDENCIAS'!$M$2:$M$50,'AVANCE EJECUCIÓN '!$D17,'CONSOLIDADO DE INCIDENCIAS'!$D$2:$D$50,'CONSOLIDADO DE INCIDENCIAS'!$B$61)</f>
        <v>0</v>
      </c>
      <c r="N17" s="95" t="s">
        <v>39</v>
      </c>
      <c r="O17" s="99"/>
    </row>
    <row r="18" spans="1:15" ht="15" x14ac:dyDescent="0.2">
      <c r="B18" s="199"/>
      <c r="C18" s="92"/>
      <c r="D18" s="93"/>
      <c r="E18" s="94" t="s">
        <v>103</v>
      </c>
      <c r="F18" s="95"/>
      <c r="G18" s="105"/>
      <c r="H18" s="96">
        <f t="shared" si="0"/>
        <v>0</v>
      </c>
      <c r="I18" s="97">
        <f t="array" ref="I18">SUMPRODUCT(COUNTIFS('CONSOLIDADO DE INCIDENCIAS'!$M$2:$M$50, 'AVANCE EJECUCIÓN '!$D18, 'CONSOLIDADO DE INCIDENCIAS'!$D$2:$D$50, 'CONSOLIDADO DE INCIDENCIAS'!$B$58:$B$59))</f>
        <v>0</v>
      </c>
      <c r="J18" s="97">
        <f t="array" ref="J18">SUMPRODUCT(COUNTIFS('CONSOLIDADO DE INCIDENCIAS'!$M$2:$M$50, 'AVANCE EJECUCIÓN '!$D18, 'CONSOLIDADO DE INCIDENCIAS'!$D$2:$D$50, 'CONSOLIDADO DE INCIDENCIAS'!$B$55:$B$57))</f>
        <v>0</v>
      </c>
      <c r="K18" s="97">
        <f t="array" ref="K18">SUMPRODUCT(COUNTIFS('CONSOLIDADO DE INCIDENCIAS'!$M$2:$M$50, 'AVANCE EJECUCIÓN '!$D18, 'CONSOLIDADO DE INCIDENCIAS'!$W$2:$W$50, 'CONSOLIDADO DE INCIDENCIAS'!$B$55:$B$57))</f>
        <v>0</v>
      </c>
      <c r="L18" s="97">
        <f>COUNTIFS('CONSOLIDADO DE INCIDENCIAS'!$M$2:$M$50,'AVANCE EJECUCIÓN '!$D18,'CONSOLIDADO DE INCIDENCIAS'!$D$2:$D$50,'CONSOLIDADO DE INCIDENCIAS'!$B$60)</f>
        <v>0</v>
      </c>
      <c r="M18" s="97">
        <f>COUNTIFS('CONSOLIDADO DE INCIDENCIAS'!$M$2:$M$50,'AVANCE EJECUCIÓN '!$D18,'CONSOLIDADO DE INCIDENCIAS'!$D$2:$D$50,'CONSOLIDADO DE INCIDENCIAS'!$B$61)</f>
        <v>0</v>
      </c>
      <c r="N18" s="98" t="s">
        <v>39</v>
      </c>
      <c r="O18" s="99"/>
    </row>
    <row r="19" spans="1:15" ht="15" x14ac:dyDescent="0.2">
      <c r="B19" s="199"/>
      <c r="C19" s="92"/>
      <c r="D19" s="93"/>
      <c r="E19" s="94" t="s">
        <v>104</v>
      </c>
      <c r="F19" s="95"/>
      <c r="G19" s="95"/>
      <c r="H19" s="102">
        <f t="shared" si="0"/>
        <v>0</v>
      </c>
      <c r="I19" s="103">
        <f t="array" ref="I19">SUMPRODUCT(COUNTIFS('CONSOLIDADO DE INCIDENCIAS'!$M$2:$M$50, 'AVANCE EJECUCIÓN '!$D19, 'CONSOLIDADO DE INCIDENCIAS'!$D$2:$D$50, 'CONSOLIDADO DE INCIDENCIAS'!$B$58:$B$59))</f>
        <v>0</v>
      </c>
      <c r="J19" s="103">
        <f t="array" ref="J19">SUMPRODUCT(COUNTIFS('CONSOLIDADO DE INCIDENCIAS'!$M$2:$M$50, 'AVANCE EJECUCIÓN '!$D19, 'CONSOLIDADO DE INCIDENCIAS'!$D$2:$D$50, 'CONSOLIDADO DE INCIDENCIAS'!$B$55:$B$57))</f>
        <v>0</v>
      </c>
      <c r="K19" s="103">
        <f t="array" ref="K19">SUMPRODUCT(COUNTIFS('CONSOLIDADO DE INCIDENCIAS'!$M$2:$M$50, 'AVANCE EJECUCIÓN '!$D19, 'CONSOLIDADO DE INCIDENCIAS'!$W$2:$W$50, 'CONSOLIDADO DE INCIDENCIAS'!$B$55:$B$57))</f>
        <v>0</v>
      </c>
      <c r="L19" s="103">
        <f>COUNTIFS('CONSOLIDADO DE INCIDENCIAS'!$M$2:$M$50,'AVANCE EJECUCIÓN '!$D19,'CONSOLIDADO DE INCIDENCIAS'!$D$2:$D$50,'CONSOLIDADO DE INCIDENCIAS'!$B$60)</f>
        <v>0</v>
      </c>
      <c r="M19" s="103">
        <f>COUNTIFS('CONSOLIDADO DE INCIDENCIAS'!$M$2:$M$50,'AVANCE EJECUCIÓN '!$D19,'CONSOLIDADO DE INCIDENCIAS'!$D$2:$D$50,'CONSOLIDADO DE INCIDENCIAS'!$B$61)</f>
        <v>0</v>
      </c>
      <c r="N19" s="95" t="s">
        <v>39</v>
      </c>
      <c r="O19" s="99"/>
    </row>
    <row r="20" spans="1:15" ht="15" x14ac:dyDescent="0.2">
      <c r="B20" s="199"/>
      <c r="C20" s="92"/>
      <c r="D20" s="93"/>
      <c r="E20" s="94" t="s">
        <v>105</v>
      </c>
      <c r="F20" s="95"/>
      <c r="G20" s="95"/>
      <c r="H20" s="102">
        <f t="shared" si="0"/>
        <v>0</v>
      </c>
      <c r="I20" s="103">
        <f t="array" ref="I20">SUMPRODUCT(COUNTIFS('CONSOLIDADO DE INCIDENCIAS'!$M$2:$M$50, 'AVANCE EJECUCIÓN '!$D20, 'CONSOLIDADO DE INCIDENCIAS'!$D$2:$D$50, 'CONSOLIDADO DE INCIDENCIAS'!$B$58:$B$59))</f>
        <v>0</v>
      </c>
      <c r="J20" s="103">
        <f t="array" ref="J20">SUMPRODUCT(COUNTIFS('CONSOLIDADO DE INCIDENCIAS'!$M$2:$M$50, 'AVANCE EJECUCIÓN '!$D20, 'CONSOLIDADO DE INCIDENCIAS'!$D$2:$D$50, 'CONSOLIDADO DE INCIDENCIAS'!$B$55:$B$57))</f>
        <v>0</v>
      </c>
      <c r="K20" s="103">
        <f t="array" ref="K20">SUMPRODUCT(COUNTIFS('CONSOLIDADO DE INCIDENCIAS'!$M$2:$M$50, 'AVANCE EJECUCIÓN '!$D20, 'CONSOLIDADO DE INCIDENCIAS'!$W$2:$W$50, 'CONSOLIDADO DE INCIDENCIAS'!$B$55:$B$57))</f>
        <v>0</v>
      </c>
      <c r="L20" s="103">
        <f>COUNTIFS('CONSOLIDADO DE INCIDENCIAS'!$M$2:$M$50,'AVANCE EJECUCIÓN '!$D20,'CONSOLIDADO DE INCIDENCIAS'!$D$2:$D$50,'CONSOLIDADO DE INCIDENCIAS'!$B$60)</f>
        <v>0</v>
      </c>
      <c r="M20" s="103">
        <f>COUNTIFS('CONSOLIDADO DE INCIDENCIAS'!$M$2:$M$50,'AVANCE EJECUCIÓN '!$D20,'CONSOLIDADO DE INCIDENCIAS'!$D$2:$D$50,'CONSOLIDADO DE INCIDENCIAS'!$B$61)</f>
        <v>0</v>
      </c>
      <c r="N20" s="95" t="s">
        <v>39</v>
      </c>
      <c r="O20" s="99"/>
    </row>
    <row r="21" spans="1:15" ht="15" x14ac:dyDescent="0.2">
      <c r="B21" s="199"/>
      <c r="C21" s="92"/>
      <c r="D21" s="93"/>
      <c r="E21" s="94" t="s">
        <v>106</v>
      </c>
      <c r="F21" s="95"/>
      <c r="G21" s="95"/>
      <c r="H21" s="102">
        <f t="shared" si="0"/>
        <v>0</v>
      </c>
      <c r="I21" s="103">
        <f t="array" ref="I21">SUMPRODUCT(COUNTIFS('CONSOLIDADO DE INCIDENCIAS'!$M$2:$M$50, 'AVANCE EJECUCIÓN '!$D21, 'CONSOLIDADO DE INCIDENCIAS'!$D$2:$D$50, 'CONSOLIDADO DE INCIDENCIAS'!$B$58:$B$59))</f>
        <v>0</v>
      </c>
      <c r="J21" s="103">
        <f t="array" ref="J21">SUMPRODUCT(COUNTIFS('CONSOLIDADO DE INCIDENCIAS'!$M$2:$M$50, 'AVANCE EJECUCIÓN '!$D21, 'CONSOLIDADO DE INCIDENCIAS'!$D$2:$D$50, 'CONSOLIDADO DE INCIDENCIAS'!$B$55:$B$57))</f>
        <v>0</v>
      </c>
      <c r="K21" s="103">
        <f t="array" ref="K21">SUMPRODUCT(COUNTIFS('CONSOLIDADO DE INCIDENCIAS'!$M$2:$M$50, 'AVANCE EJECUCIÓN '!$D21, 'CONSOLIDADO DE INCIDENCIAS'!$W$2:$W$50, 'CONSOLIDADO DE INCIDENCIAS'!$B$55:$B$57))</f>
        <v>0</v>
      </c>
      <c r="L21" s="103">
        <f>COUNTIFS('CONSOLIDADO DE INCIDENCIAS'!$M$2:$M$50,'AVANCE EJECUCIÓN '!$D21,'CONSOLIDADO DE INCIDENCIAS'!$D$2:$D$50,'CONSOLIDADO DE INCIDENCIAS'!$B$60)</f>
        <v>0</v>
      </c>
      <c r="M21" s="103">
        <f>COUNTIFS('CONSOLIDADO DE INCIDENCIAS'!$M$2:$M$50,'AVANCE EJECUCIÓN '!$D21,'CONSOLIDADO DE INCIDENCIAS'!$D$2:$D$50,'CONSOLIDADO DE INCIDENCIAS'!$B$61)</f>
        <v>0</v>
      </c>
      <c r="N21" s="95" t="s">
        <v>39</v>
      </c>
      <c r="O21" s="99"/>
    </row>
    <row r="22" spans="1:15" ht="15" x14ac:dyDescent="0.2">
      <c r="B22" s="199"/>
      <c r="C22" s="92"/>
      <c r="D22" s="93"/>
      <c r="E22" s="94" t="s">
        <v>107</v>
      </c>
      <c r="F22" s="95"/>
      <c r="G22" s="95"/>
      <c r="H22" s="96">
        <f t="shared" si="0"/>
        <v>0</v>
      </c>
      <c r="I22" s="97">
        <f t="array" ref="I22">SUMPRODUCT(COUNTIFS('CONSOLIDADO DE INCIDENCIAS'!$M$2:$M$50, 'AVANCE EJECUCIÓN '!$D22, 'CONSOLIDADO DE INCIDENCIAS'!$D$2:$D$50, 'CONSOLIDADO DE INCIDENCIAS'!$B$58:$B$59))</f>
        <v>0</v>
      </c>
      <c r="J22" s="97">
        <f t="array" ref="J22">SUMPRODUCT(COUNTIFS('CONSOLIDADO DE INCIDENCIAS'!$M$2:$M$50, 'AVANCE EJECUCIÓN '!$D22, 'CONSOLIDADO DE INCIDENCIAS'!$D$2:$D$50, 'CONSOLIDADO DE INCIDENCIAS'!$B$55:$B$57))</f>
        <v>0</v>
      </c>
      <c r="K22" s="97">
        <f t="array" ref="K22">SUMPRODUCT(COUNTIFS('CONSOLIDADO DE INCIDENCIAS'!$M$2:$M$50, 'AVANCE EJECUCIÓN '!$D22, 'CONSOLIDADO DE INCIDENCIAS'!$W$2:$W$50, 'CONSOLIDADO DE INCIDENCIAS'!$B$55:$B$57))</f>
        <v>0</v>
      </c>
      <c r="L22" s="97">
        <f>COUNTIFS('CONSOLIDADO DE INCIDENCIAS'!$M$2:$M$50,'AVANCE EJECUCIÓN '!$D22,'CONSOLIDADO DE INCIDENCIAS'!$D$2:$D$50,'CONSOLIDADO DE INCIDENCIAS'!$B$60)</f>
        <v>0</v>
      </c>
      <c r="M22" s="97">
        <f>COUNTIFS('CONSOLIDADO DE INCIDENCIAS'!$M$2:$M$50,'AVANCE EJECUCIÓN '!$D22,'CONSOLIDADO DE INCIDENCIAS'!$D$2:$D$50,'CONSOLIDADO DE INCIDENCIAS'!$B$61)</f>
        <v>0</v>
      </c>
      <c r="N22" s="98" t="s">
        <v>39</v>
      </c>
      <c r="O22" s="99"/>
    </row>
    <row r="23" spans="1:15" ht="15" x14ac:dyDescent="0.2">
      <c r="B23" s="199"/>
      <c r="C23" s="92"/>
      <c r="D23" s="93"/>
      <c r="E23" s="94" t="s">
        <v>108</v>
      </c>
      <c r="F23" s="95"/>
      <c r="G23" s="105"/>
      <c r="H23" s="102">
        <f t="shared" si="0"/>
        <v>0</v>
      </c>
      <c r="I23" s="103">
        <f t="array" ref="I23">SUMPRODUCT(COUNTIFS('CONSOLIDADO DE INCIDENCIAS'!$M$2:$M$50, 'AVANCE EJECUCIÓN '!$D23, 'CONSOLIDADO DE INCIDENCIAS'!$D$2:$D$50, 'CONSOLIDADO DE INCIDENCIAS'!$B$58:$B$59))</f>
        <v>0</v>
      </c>
      <c r="J23" s="103">
        <f t="array" ref="J23">SUMPRODUCT(COUNTIFS('CONSOLIDADO DE INCIDENCIAS'!$M$2:$M$50, 'AVANCE EJECUCIÓN '!$D23, 'CONSOLIDADO DE INCIDENCIAS'!$D$2:$D$50, 'CONSOLIDADO DE INCIDENCIAS'!$B$55:$B$57))</f>
        <v>0</v>
      </c>
      <c r="K23" s="103">
        <f t="array" ref="K23">SUMPRODUCT(COUNTIFS('CONSOLIDADO DE INCIDENCIAS'!$M$2:$M$50, 'AVANCE EJECUCIÓN '!$D23, 'CONSOLIDADO DE INCIDENCIAS'!$W$2:$W$50, 'CONSOLIDADO DE INCIDENCIAS'!$B$55:$B$57))</f>
        <v>0</v>
      </c>
      <c r="L23" s="103">
        <f>COUNTIFS('CONSOLIDADO DE INCIDENCIAS'!$M$2:$M$50,'AVANCE EJECUCIÓN '!$D23,'CONSOLIDADO DE INCIDENCIAS'!$D$2:$D$50,'CONSOLIDADO DE INCIDENCIAS'!$B$60)</f>
        <v>0</v>
      </c>
      <c r="M23" s="103">
        <f>COUNTIFS('CONSOLIDADO DE INCIDENCIAS'!$M$2:$M$50,'AVANCE EJECUCIÓN '!$D23,'CONSOLIDADO DE INCIDENCIAS'!$D$2:$D$50,'CONSOLIDADO DE INCIDENCIAS'!$B$61)</f>
        <v>0</v>
      </c>
      <c r="N23" s="95" t="s">
        <v>39</v>
      </c>
      <c r="O23" s="99"/>
    </row>
    <row r="24" spans="1:15" ht="15" x14ac:dyDescent="0.2">
      <c r="B24" s="199"/>
      <c r="C24" s="92"/>
      <c r="D24" s="93"/>
      <c r="E24" s="94" t="s">
        <v>109</v>
      </c>
      <c r="F24" s="105"/>
      <c r="G24" s="95"/>
      <c r="H24" s="102">
        <f t="shared" ref="H24" si="5">SUM(I24,J24,L24,M24)</f>
        <v>0</v>
      </c>
      <c r="I24" s="103">
        <f t="array" ref="I24">SUMPRODUCT(COUNTIFS('CONSOLIDADO DE INCIDENCIAS'!$M$2:$M$50, 'AVANCE EJECUCIÓN '!$D24, 'CONSOLIDADO DE INCIDENCIAS'!$D$2:$D$50, 'CONSOLIDADO DE INCIDENCIAS'!$B$58:$B$59))</f>
        <v>0</v>
      </c>
      <c r="J24" s="103">
        <f t="array" ref="J24">SUMPRODUCT(COUNTIFS('CONSOLIDADO DE INCIDENCIAS'!$M$2:$M$50, 'AVANCE EJECUCIÓN '!$D24, 'CONSOLIDADO DE INCIDENCIAS'!$D$2:$D$50, 'CONSOLIDADO DE INCIDENCIAS'!$B$55:$B$57))</f>
        <v>0</v>
      </c>
      <c r="K24" s="103">
        <f t="array" ref="K24">SUMPRODUCT(COUNTIFS('CONSOLIDADO DE INCIDENCIAS'!$M$2:$M$50, 'AVANCE EJECUCIÓN '!$D24, 'CONSOLIDADO DE INCIDENCIAS'!$W$2:$W$50, 'CONSOLIDADO DE INCIDENCIAS'!$B$55:$B$57))</f>
        <v>0</v>
      </c>
      <c r="L24" s="103">
        <f>COUNTIFS('CONSOLIDADO DE INCIDENCIAS'!$M$2:$M$50,'AVANCE EJECUCIÓN '!$D24,'CONSOLIDADO DE INCIDENCIAS'!$D$2:$D$50,'CONSOLIDADO DE INCIDENCIAS'!$B$60)</f>
        <v>0</v>
      </c>
      <c r="M24" s="103">
        <f>COUNTIFS('CONSOLIDADO DE INCIDENCIAS'!$M$2:$M$50,'AVANCE EJECUCIÓN '!$D24,'CONSOLIDADO DE INCIDENCIAS'!$D$2:$D$50,'CONSOLIDADO DE INCIDENCIAS'!$B$61)</f>
        <v>0</v>
      </c>
      <c r="N24" s="95" t="s">
        <v>39</v>
      </c>
      <c r="O24" s="99"/>
    </row>
    <row r="25" spans="1:15" ht="15" x14ac:dyDescent="0.2">
      <c r="B25" s="200"/>
      <c r="C25" s="92"/>
      <c r="D25" s="93"/>
      <c r="E25" s="94" t="s">
        <v>110</v>
      </c>
      <c r="F25" s="105"/>
      <c r="G25" s="95"/>
      <c r="H25" s="102">
        <f t="shared" si="0"/>
        <v>0</v>
      </c>
      <c r="I25" s="103">
        <f t="array" ref="I25">SUMPRODUCT(COUNTIFS('CONSOLIDADO DE INCIDENCIAS'!$M$2:$M$50, 'AVANCE EJECUCIÓN '!$D25, 'CONSOLIDADO DE INCIDENCIAS'!$D$2:$D$50, 'CONSOLIDADO DE INCIDENCIAS'!$B$58:$B$59))</f>
        <v>0</v>
      </c>
      <c r="J25" s="103">
        <f t="array" ref="J25">SUMPRODUCT(COUNTIFS('CONSOLIDADO DE INCIDENCIAS'!$M$2:$M$50, 'AVANCE EJECUCIÓN '!$D25, 'CONSOLIDADO DE INCIDENCIAS'!$D$2:$D$50, 'CONSOLIDADO DE INCIDENCIAS'!$B$55:$B$57))</f>
        <v>0</v>
      </c>
      <c r="K25" s="103">
        <f t="array" ref="K25">SUMPRODUCT(COUNTIFS('CONSOLIDADO DE INCIDENCIAS'!$M$2:$M$50, 'AVANCE EJECUCIÓN '!$D25, 'CONSOLIDADO DE INCIDENCIAS'!$W$2:$W$50, 'CONSOLIDADO DE INCIDENCIAS'!$B$55:$B$57))</f>
        <v>0</v>
      </c>
      <c r="L25" s="103">
        <f>COUNTIFS('CONSOLIDADO DE INCIDENCIAS'!$M$2:$M$50,'AVANCE EJECUCIÓN '!$D25,'CONSOLIDADO DE INCIDENCIAS'!$D$2:$D$50,'CONSOLIDADO DE INCIDENCIAS'!$B$60)</f>
        <v>0</v>
      </c>
      <c r="M25" s="103">
        <f>COUNTIFS('CONSOLIDADO DE INCIDENCIAS'!$M$2:$M$50,'AVANCE EJECUCIÓN '!$D25,'CONSOLIDADO DE INCIDENCIAS'!$D$2:$D$50,'CONSOLIDADO DE INCIDENCIAS'!$B$61)</f>
        <v>0</v>
      </c>
      <c r="N25" s="95" t="s">
        <v>39</v>
      </c>
      <c r="O25" s="99"/>
    </row>
    <row r="26" spans="1:15" ht="28.5" x14ac:dyDescent="0.2">
      <c r="A26" s="107"/>
      <c r="B26" s="198" t="s">
        <v>152</v>
      </c>
      <c r="C26" s="108" t="s">
        <v>51</v>
      </c>
      <c r="D26" s="109" t="s">
        <v>52</v>
      </c>
      <c r="E26" s="94" t="s">
        <v>111</v>
      </c>
      <c r="F26" s="110" t="s">
        <v>144</v>
      </c>
      <c r="G26" s="110" t="s">
        <v>142</v>
      </c>
      <c r="H26" s="102">
        <f t="shared" si="0"/>
        <v>0</v>
      </c>
      <c r="I26" s="103">
        <f t="array" ref="I26">SUMPRODUCT(COUNTIFS('CONSOLIDADO DE INCIDENCIAS'!$M$2:$M$50, 'AVANCE EJECUCIÓN '!$D26, 'CONSOLIDADO DE INCIDENCIAS'!$D$2:$D$50, 'CONSOLIDADO DE INCIDENCIAS'!$B$58:$B$59))</f>
        <v>0</v>
      </c>
      <c r="J26" s="103">
        <f t="array" ref="J26">SUMPRODUCT(COUNTIFS('CONSOLIDADO DE INCIDENCIAS'!$M$2:$M$50, 'AVANCE EJECUCIÓN '!$D26, 'CONSOLIDADO DE INCIDENCIAS'!$D$2:$D$50, 'CONSOLIDADO DE INCIDENCIAS'!$B$55:$B$57))</f>
        <v>0</v>
      </c>
      <c r="K26" s="103">
        <f t="array" ref="K26">SUMPRODUCT(COUNTIFS('CONSOLIDADO DE INCIDENCIAS'!$M$2:$M$50, 'AVANCE EJECUCIÓN '!$D26, 'CONSOLIDADO DE INCIDENCIAS'!$W$2:$W$50, 'CONSOLIDADO DE INCIDENCIAS'!$B$55:$B$57))</f>
        <v>0</v>
      </c>
      <c r="L26" s="103">
        <f>COUNTIFS('CONSOLIDADO DE INCIDENCIAS'!$M$2:$M$50,'AVANCE EJECUCIÓN '!$D26,'CONSOLIDADO DE INCIDENCIAS'!$D$2:$D$50,'CONSOLIDADO DE INCIDENCIAS'!$B$60)</f>
        <v>0</v>
      </c>
      <c r="M26" s="103">
        <f>COUNTIFS('CONSOLIDADO DE INCIDENCIAS'!$M$2:$M$50,'AVANCE EJECUCIÓN '!$D26,'CONSOLIDADO DE INCIDENCIAS'!$D$2:$D$50,'CONSOLIDADO DE INCIDENCIAS'!$B$61)</f>
        <v>0</v>
      </c>
      <c r="N26" s="95" t="s">
        <v>39</v>
      </c>
      <c r="O26" s="99"/>
    </row>
    <row r="27" spans="1:15" ht="28.5" x14ac:dyDescent="0.2">
      <c r="A27" s="107"/>
      <c r="B27" s="199"/>
      <c r="C27" s="108" t="s">
        <v>51</v>
      </c>
      <c r="D27" s="109" t="s">
        <v>53</v>
      </c>
      <c r="E27" s="94" t="s">
        <v>112</v>
      </c>
      <c r="F27" s="110" t="s">
        <v>132</v>
      </c>
      <c r="G27" s="110" t="s">
        <v>140</v>
      </c>
      <c r="H27" s="102">
        <f t="shared" ref="H27" si="6">SUM(I27,J27,L27,M27)</f>
        <v>0</v>
      </c>
      <c r="I27" s="103">
        <f t="array" ref="I27">SUMPRODUCT(COUNTIFS('CONSOLIDADO DE INCIDENCIAS'!$M$2:$M$50, 'AVANCE EJECUCIÓN '!$D27, 'CONSOLIDADO DE INCIDENCIAS'!$D$2:$D$50, 'CONSOLIDADO DE INCIDENCIAS'!$B$58:$B$59))</f>
        <v>0</v>
      </c>
      <c r="J27" s="103">
        <f t="array" ref="J27">SUMPRODUCT(COUNTIFS('CONSOLIDADO DE INCIDENCIAS'!$M$2:$M$50, 'AVANCE EJECUCIÓN '!$D27, 'CONSOLIDADO DE INCIDENCIAS'!$D$2:$D$50, 'CONSOLIDADO DE INCIDENCIAS'!$B$55:$B$57))</f>
        <v>0</v>
      </c>
      <c r="K27" s="103">
        <f t="array" ref="K27">SUMPRODUCT(COUNTIFS('CONSOLIDADO DE INCIDENCIAS'!$M$2:$M$50, 'AVANCE EJECUCIÓN '!$D27, 'CONSOLIDADO DE INCIDENCIAS'!$W$2:$W$50, 'CONSOLIDADO DE INCIDENCIAS'!$B$55:$B$57))</f>
        <v>0</v>
      </c>
      <c r="L27" s="103">
        <f>COUNTIFS('CONSOLIDADO DE INCIDENCIAS'!$M$2:$M$50,'AVANCE EJECUCIÓN '!$D27,'CONSOLIDADO DE INCIDENCIAS'!$D$2:$D$50,'CONSOLIDADO DE INCIDENCIAS'!$B$60)</f>
        <v>0</v>
      </c>
      <c r="M27" s="103">
        <f>COUNTIFS('CONSOLIDADO DE INCIDENCIAS'!$M$2:$M$50,'AVANCE EJECUCIÓN '!$D27,'CONSOLIDADO DE INCIDENCIAS'!$D$2:$D$50,'CONSOLIDADO DE INCIDENCIAS'!$B$61)</f>
        <v>0</v>
      </c>
      <c r="N27" s="95" t="s">
        <v>39</v>
      </c>
      <c r="O27" s="99"/>
    </row>
    <row r="28" spans="1:15" ht="28.5" x14ac:dyDescent="0.2">
      <c r="A28" s="107"/>
      <c r="B28" s="199"/>
      <c r="C28" s="108" t="s">
        <v>51</v>
      </c>
      <c r="D28" s="109" t="s">
        <v>55</v>
      </c>
      <c r="E28" s="94" t="s">
        <v>113</v>
      </c>
      <c r="F28" s="110" t="s">
        <v>135</v>
      </c>
      <c r="G28" s="110" t="s">
        <v>140</v>
      </c>
      <c r="H28" s="102">
        <f t="shared" si="0"/>
        <v>0</v>
      </c>
      <c r="I28" s="103">
        <f t="array" ref="I28">SUMPRODUCT(COUNTIFS('CONSOLIDADO DE INCIDENCIAS'!$M$2:$M$50, 'AVANCE EJECUCIÓN '!$D28, 'CONSOLIDADO DE INCIDENCIAS'!$D$2:$D$50, 'CONSOLIDADO DE INCIDENCIAS'!$B$58:$B$59))</f>
        <v>0</v>
      </c>
      <c r="J28" s="103">
        <f t="array" ref="J28">SUMPRODUCT(COUNTIFS('CONSOLIDADO DE INCIDENCIAS'!$M$2:$M$50, 'AVANCE EJECUCIÓN '!$D28, 'CONSOLIDADO DE INCIDENCIAS'!$D$2:$D$50, 'CONSOLIDADO DE INCIDENCIAS'!$B$55:$B$57))</f>
        <v>0</v>
      </c>
      <c r="K28" s="103">
        <f t="array" ref="K28">SUMPRODUCT(COUNTIFS('CONSOLIDADO DE INCIDENCIAS'!$M$2:$M$50, 'AVANCE EJECUCIÓN '!$D28, 'CONSOLIDADO DE INCIDENCIAS'!$W$2:$W$50, 'CONSOLIDADO DE INCIDENCIAS'!$B$55:$B$57))</f>
        <v>0</v>
      </c>
      <c r="L28" s="103">
        <f>COUNTIFS('CONSOLIDADO DE INCIDENCIAS'!$M$2:$M$50,'AVANCE EJECUCIÓN '!$D28,'CONSOLIDADO DE INCIDENCIAS'!$D$2:$D$50,'CONSOLIDADO DE INCIDENCIAS'!$B$60)</f>
        <v>0</v>
      </c>
      <c r="M28" s="103">
        <f>COUNTIFS('CONSOLIDADO DE INCIDENCIAS'!$M$2:$M$50,'AVANCE EJECUCIÓN '!$D28,'CONSOLIDADO DE INCIDENCIAS'!$D$2:$D$50,'CONSOLIDADO DE INCIDENCIAS'!$B$61)</f>
        <v>0</v>
      </c>
      <c r="N28" s="95" t="s">
        <v>39</v>
      </c>
      <c r="O28" s="99"/>
    </row>
    <row r="29" spans="1:15" ht="71.25" x14ac:dyDescent="0.2">
      <c r="A29" s="107"/>
      <c r="B29" s="199"/>
      <c r="C29" s="108" t="s">
        <v>51</v>
      </c>
      <c r="D29" s="109" t="s">
        <v>57</v>
      </c>
      <c r="E29" s="94" t="s">
        <v>115</v>
      </c>
      <c r="F29" s="110" t="s">
        <v>136</v>
      </c>
      <c r="G29" s="110" t="s">
        <v>140</v>
      </c>
      <c r="H29" s="102">
        <f t="shared" si="0"/>
        <v>0</v>
      </c>
      <c r="I29" s="103">
        <f t="array" ref="I29">SUMPRODUCT(COUNTIFS('CONSOLIDADO DE INCIDENCIAS'!$M$2:$M$50, 'AVANCE EJECUCIÓN '!$D29, 'CONSOLIDADO DE INCIDENCIAS'!$D$2:$D$50, 'CONSOLIDADO DE INCIDENCIAS'!$B$58:$B$59))</f>
        <v>0</v>
      </c>
      <c r="J29" s="103">
        <f t="array" ref="J29">SUMPRODUCT(COUNTIFS('CONSOLIDADO DE INCIDENCIAS'!$M$2:$M$50, 'AVANCE EJECUCIÓN '!$D29, 'CONSOLIDADO DE INCIDENCIAS'!$D$2:$D$50, 'CONSOLIDADO DE INCIDENCIAS'!$B$55:$B$57))</f>
        <v>0</v>
      </c>
      <c r="K29" s="103">
        <f t="array" ref="K29">SUMPRODUCT(COUNTIFS('CONSOLIDADO DE INCIDENCIAS'!$M$2:$M$50, 'AVANCE EJECUCIÓN '!$D29, 'CONSOLIDADO DE INCIDENCIAS'!$W$2:$W$50, 'CONSOLIDADO DE INCIDENCIAS'!$B$55:$B$57))</f>
        <v>0</v>
      </c>
      <c r="L29" s="103">
        <f>COUNTIFS('CONSOLIDADO DE INCIDENCIAS'!$M$2:$M$50,'AVANCE EJECUCIÓN '!$D29,'CONSOLIDADO DE INCIDENCIAS'!$D$2:$D$50,'CONSOLIDADO DE INCIDENCIAS'!$B$60)</f>
        <v>0</v>
      </c>
      <c r="M29" s="103">
        <f>COUNTIFS('CONSOLIDADO DE INCIDENCIAS'!$M$2:$M$50,'AVANCE EJECUCIÓN '!$D29,'CONSOLIDADO DE INCIDENCIAS'!$D$2:$D$50,'CONSOLIDADO DE INCIDENCIAS'!$B$61)</f>
        <v>0</v>
      </c>
      <c r="N29" s="95" t="s">
        <v>39</v>
      </c>
      <c r="O29" s="99"/>
    </row>
    <row r="30" spans="1:15" ht="15" x14ac:dyDescent="0.2">
      <c r="A30" s="107"/>
      <c r="B30" s="199"/>
      <c r="C30" s="108" t="s">
        <v>54</v>
      </c>
      <c r="D30" s="109" t="s">
        <v>133</v>
      </c>
      <c r="E30" s="94" t="s">
        <v>117</v>
      </c>
      <c r="F30" s="110" t="s">
        <v>134</v>
      </c>
      <c r="G30" s="110" t="s">
        <v>141</v>
      </c>
      <c r="H30" s="102">
        <f t="shared" ref="H30" si="7">SUM(I30,J30,L30,M30)</f>
        <v>0</v>
      </c>
      <c r="I30" s="103">
        <f t="array" ref="I30">SUMPRODUCT(COUNTIFS('CONSOLIDADO DE INCIDENCIAS'!$M$2:$M$50, 'AVANCE EJECUCIÓN '!$D30, 'CONSOLIDADO DE INCIDENCIAS'!$D$2:$D$50, 'CONSOLIDADO DE INCIDENCIAS'!$B$58:$B$59))</f>
        <v>0</v>
      </c>
      <c r="J30" s="103">
        <f t="array" ref="J30">SUMPRODUCT(COUNTIFS('CONSOLIDADO DE INCIDENCIAS'!$M$2:$M$50, 'AVANCE EJECUCIÓN '!$D30, 'CONSOLIDADO DE INCIDENCIAS'!$D$2:$D$50, 'CONSOLIDADO DE INCIDENCIAS'!$B$55:$B$57))</f>
        <v>0</v>
      </c>
      <c r="K30" s="103">
        <f t="array" ref="K30">SUMPRODUCT(COUNTIFS('CONSOLIDADO DE INCIDENCIAS'!$M$2:$M$50, 'AVANCE EJECUCIÓN '!$D30, 'CONSOLIDADO DE INCIDENCIAS'!$W$2:$W$50, 'CONSOLIDADO DE INCIDENCIAS'!$B$55:$B$57))</f>
        <v>0</v>
      </c>
      <c r="L30" s="103">
        <f>COUNTIFS('CONSOLIDADO DE INCIDENCIAS'!$M$2:$M$50,'AVANCE EJECUCIÓN '!$D30,'CONSOLIDADO DE INCIDENCIAS'!$D$2:$D$50,'CONSOLIDADO DE INCIDENCIAS'!$B$60)</f>
        <v>0</v>
      </c>
      <c r="M30" s="103">
        <f>COUNTIFS('CONSOLIDADO DE INCIDENCIAS'!$M$2:$M$50,'AVANCE EJECUCIÓN '!$D30,'CONSOLIDADO DE INCIDENCIAS'!$D$2:$D$50,'CONSOLIDADO DE INCIDENCIAS'!$B$61)</f>
        <v>0</v>
      </c>
      <c r="N30" s="95" t="s">
        <v>39</v>
      </c>
      <c r="O30" s="99"/>
    </row>
    <row r="31" spans="1:15" ht="28.5" x14ac:dyDescent="0.2">
      <c r="A31" s="107"/>
      <c r="B31" s="200"/>
      <c r="C31" s="108" t="s">
        <v>56</v>
      </c>
      <c r="D31" s="109" t="s">
        <v>137</v>
      </c>
      <c r="E31" s="94" t="s">
        <v>131</v>
      </c>
      <c r="F31" s="110" t="s">
        <v>58</v>
      </c>
      <c r="G31" s="110" t="s">
        <v>114</v>
      </c>
      <c r="H31" s="102">
        <f t="shared" si="0"/>
        <v>0</v>
      </c>
      <c r="I31" s="103">
        <f t="array" ref="I31">SUMPRODUCT(COUNTIFS('CONSOLIDADO DE INCIDENCIAS'!$M$2:$M$50, 'AVANCE EJECUCIÓN '!$D31, 'CONSOLIDADO DE INCIDENCIAS'!$D$2:$D$50, 'CONSOLIDADO DE INCIDENCIAS'!$B$58:$B$59))</f>
        <v>0</v>
      </c>
      <c r="J31" s="103">
        <f t="array" ref="J31">SUMPRODUCT(COUNTIFS('CONSOLIDADO DE INCIDENCIAS'!$M$2:$M$50, 'AVANCE EJECUCIÓN '!$D31, 'CONSOLIDADO DE INCIDENCIAS'!$D$2:$D$50, 'CONSOLIDADO DE INCIDENCIAS'!$B$55:$B$57))</f>
        <v>0</v>
      </c>
      <c r="K31" s="103">
        <f t="array" ref="K31">SUMPRODUCT(COUNTIFS('CONSOLIDADO DE INCIDENCIAS'!$M$2:$M$50, 'AVANCE EJECUCIÓN '!$D31, 'CONSOLIDADO DE INCIDENCIAS'!$W$2:$W$50, 'CONSOLIDADO DE INCIDENCIAS'!$B$55:$B$57))</f>
        <v>0</v>
      </c>
      <c r="L31" s="103">
        <f>COUNTIFS('CONSOLIDADO DE INCIDENCIAS'!$M$2:$M$50,'AVANCE EJECUCIÓN '!$D31,'CONSOLIDADO DE INCIDENCIAS'!$D$2:$D$50,'CONSOLIDADO DE INCIDENCIAS'!$B$60)</f>
        <v>0</v>
      </c>
      <c r="M31" s="103">
        <f>COUNTIFS('CONSOLIDADO DE INCIDENCIAS'!$M$2:$M$50,'AVANCE EJECUCIÓN '!$D31,'CONSOLIDADO DE INCIDENCIAS'!$D$2:$D$50,'CONSOLIDADO DE INCIDENCIAS'!$B$61)</f>
        <v>0</v>
      </c>
      <c r="N31" s="95" t="s">
        <v>39</v>
      </c>
      <c r="O31" s="99"/>
    </row>
    <row r="32" spans="1:15" ht="30" x14ac:dyDescent="0.2">
      <c r="A32" s="107"/>
      <c r="B32" s="198" t="s">
        <v>153</v>
      </c>
      <c r="C32" s="111" t="s">
        <v>60</v>
      </c>
      <c r="D32" s="112" t="s">
        <v>61</v>
      </c>
      <c r="E32" s="94" t="s">
        <v>138</v>
      </c>
      <c r="F32" s="98" t="s">
        <v>62</v>
      </c>
      <c r="G32" s="98" t="s">
        <v>116</v>
      </c>
      <c r="H32" s="102">
        <f t="shared" si="0"/>
        <v>0</v>
      </c>
      <c r="I32" s="103">
        <f t="array" ref="I32">SUMPRODUCT(COUNTIFS('CONSOLIDADO DE INCIDENCIAS'!$M$2:$M$50, 'AVANCE EJECUCIÓN '!$D32, 'CONSOLIDADO DE INCIDENCIAS'!$D$2:$D$50, 'CONSOLIDADO DE INCIDENCIAS'!$B$58:$B$59))</f>
        <v>0</v>
      </c>
      <c r="J32" s="103">
        <f t="array" ref="J32">SUMPRODUCT(COUNTIFS('CONSOLIDADO DE INCIDENCIAS'!$M$2:$M$50, 'AVANCE EJECUCIÓN '!$D32, 'CONSOLIDADO DE INCIDENCIAS'!$D$2:$D$50, 'CONSOLIDADO DE INCIDENCIAS'!$B$55:$B$57))</f>
        <v>0</v>
      </c>
      <c r="K32" s="103">
        <f t="array" ref="K32">SUMPRODUCT(COUNTIFS('CONSOLIDADO DE INCIDENCIAS'!$M$2:$M$50, 'AVANCE EJECUCIÓN '!$D32, 'CONSOLIDADO DE INCIDENCIAS'!$W$2:$W$50, 'CONSOLIDADO DE INCIDENCIAS'!$B$55:$B$57))</f>
        <v>0</v>
      </c>
      <c r="L32" s="103">
        <f>COUNTIFS('CONSOLIDADO DE INCIDENCIAS'!$M$2:$M$50,'AVANCE EJECUCIÓN '!$D32,'CONSOLIDADO DE INCIDENCIAS'!$D$2:$D$50,'CONSOLIDADO DE INCIDENCIAS'!$B$60)</f>
        <v>0</v>
      </c>
      <c r="M32" s="103">
        <f>COUNTIFS('CONSOLIDADO DE INCIDENCIAS'!$M$2:$M$50,'AVANCE EJECUCIÓN '!$D32,'CONSOLIDADO DE INCIDENCIAS'!$D$2:$D$50,'CONSOLIDADO DE INCIDENCIAS'!$B$61)</f>
        <v>0</v>
      </c>
      <c r="N32" s="95" t="s">
        <v>39</v>
      </c>
      <c r="O32" s="99"/>
    </row>
    <row r="33" spans="1:15" ht="43.5" thickBot="1" x14ac:dyDescent="0.25">
      <c r="A33" s="107"/>
      <c r="B33" s="200"/>
      <c r="C33" s="111" t="s">
        <v>63</v>
      </c>
      <c r="D33" s="112" t="s">
        <v>64</v>
      </c>
      <c r="E33" s="94" t="s">
        <v>139</v>
      </c>
      <c r="F33" s="98" t="s">
        <v>65</v>
      </c>
      <c r="G33" s="98" t="s">
        <v>118</v>
      </c>
      <c r="H33" s="113">
        <f t="shared" si="0"/>
        <v>0</v>
      </c>
      <c r="I33" s="114">
        <f t="array" ref="I33">SUMPRODUCT(COUNTIFS('CONSOLIDADO DE INCIDENCIAS'!$M$2:$M$50, 'AVANCE EJECUCIÓN '!$D33, 'CONSOLIDADO DE INCIDENCIAS'!$D$2:$D$50, 'CONSOLIDADO DE INCIDENCIAS'!$B$58:$B$59))</f>
        <v>0</v>
      </c>
      <c r="J33" s="114">
        <f t="array" ref="J33">SUMPRODUCT(COUNTIFS('CONSOLIDADO DE INCIDENCIAS'!$M$2:$M$50, 'AVANCE EJECUCIÓN '!$D33, 'CONSOLIDADO DE INCIDENCIAS'!$D$2:$D$50, 'CONSOLIDADO DE INCIDENCIAS'!$B$55:$B$57))</f>
        <v>0</v>
      </c>
      <c r="K33" s="114">
        <f t="array" ref="K33">SUMPRODUCT(COUNTIFS('CONSOLIDADO DE INCIDENCIAS'!$M$2:$M$50, 'AVANCE EJECUCIÓN '!$D33, 'CONSOLIDADO DE INCIDENCIAS'!$W$2:$W$50, 'CONSOLIDADO DE INCIDENCIAS'!$B$55:$B$57))</f>
        <v>0</v>
      </c>
      <c r="L33" s="114">
        <f>COUNTIFS('CONSOLIDADO DE INCIDENCIAS'!$M$2:$M$50,'AVANCE EJECUCIÓN '!$D33,'CONSOLIDADO DE INCIDENCIAS'!$D$2:$D$50,'CONSOLIDADO DE INCIDENCIAS'!$B$60)</f>
        <v>0</v>
      </c>
      <c r="M33" s="114">
        <f>COUNTIFS('CONSOLIDADO DE INCIDENCIAS'!$M$2:$M$50,'AVANCE EJECUCIÓN '!$D33,'CONSOLIDADO DE INCIDENCIAS'!$D$2:$D$50,'CONSOLIDADO DE INCIDENCIAS'!$B$61)</f>
        <v>0</v>
      </c>
      <c r="N33" s="115" t="s">
        <v>39</v>
      </c>
      <c r="O33" s="99"/>
    </row>
    <row r="34" spans="1:15" ht="15.75" thickBot="1" x14ac:dyDescent="0.25">
      <c r="B34" s="116" t="s">
        <v>119</v>
      </c>
      <c r="C34" s="117"/>
      <c r="D34" s="118">
        <f>COUNTA(D6:D33)</f>
        <v>8</v>
      </c>
      <c r="E34" s="119"/>
      <c r="F34" s="120"/>
      <c r="G34" s="120"/>
      <c r="H34" s="121">
        <f t="shared" ref="H34:M34" si="8">SUM(H6:H31)</f>
        <v>0</v>
      </c>
      <c r="I34" s="87">
        <f t="shared" si="8"/>
        <v>0</v>
      </c>
      <c r="J34" s="88">
        <f t="shared" si="8"/>
        <v>0</v>
      </c>
      <c r="K34" s="89">
        <f t="shared" si="8"/>
        <v>0</v>
      </c>
      <c r="L34" s="90">
        <f t="shared" si="8"/>
        <v>0</v>
      </c>
      <c r="M34" s="91">
        <f t="shared" si="8"/>
        <v>0</v>
      </c>
      <c r="N34" s="104" t="s">
        <v>39</v>
      </c>
      <c r="O34" s="99"/>
    </row>
    <row r="35" spans="1:15" ht="15" x14ac:dyDescent="0.2">
      <c r="B35" s="122"/>
      <c r="C35" s="123"/>
      <c r="D35" s="119"/>
      <c r="E35" s="119"/>
      <c r="F35" s="120"/>
      <c r="G35" s="120"/>
      <c r="H35" s="77"/>
      <c r="I35" s="77"/>
      <c r="J35" s="78"/>
      <c r="K35" s="77"/>
      <c r="L35" s="77"/>
      <c r="M35" s="77"/>
      <c r="N35" s="79"/>
    </row>
    <row r="36" spans="1:15" ht="15" x14ac:dyDescent="0.2">
      <c r="B36" s="122"/>
      <c r="C36" s="123"/>
      <c r="D36" s="119"/>
      <c r="E36" s="119"/>
      <c r="F36" s="120"/>
      <c r="G36" s="120"/>
      <c r="H36" s="77"/>
      <c r="I36" s="77"/>
      <c r="J36" s="78"/>
      <c r="K36" s="77"/>
      <c r="L36" s="77"/>
      <c r="M36" s="77"/>
      <c r="N36" s="79"/>
    </row>
    <row r="37" spans="1:15" ht="15" x14ac:dyDescent="0.2">
      <c r="B37" s="122"/>
      <c r="C37" s="123"/>
      <c r="F37" s="203"/>
      <c r="G37" s="204"/>
      <c r="H37" s="204"/>
      <c r="I37" s="204"/>
      <c r="J37" s="204"/>
      <c r="K37" s="204"/>
      <c r="M37" s="77"/>
      <c r="N37" s="79"/>
    </row>
    <row r="38" spans="1:15" ht="15" x14ac:dyDescent="0.2">
      <c r="B38" s="122"/>
      <c r="C38" s="123"/>
      <c r="H38" s="77"/>
      <c r="I38" s="77"/>
      <c r="J38" s="78"/>
      <c r="K38" s="77"/>
      <c r="L38" s="77"/>
      <c r="M38" s="77"/>
      <c r="N38" s="79"/>
    </row>
    <row r="39" spans="1:15" x14ac:dyDescent="0.2">
      <c r="H39" s="77"/>
      <c r="I39" s="77"/>
      <c r="J39" s="78"/>
      <c r="K39" s="77"/>
      <c r="L39" s="77"/>
      <c r="M39" s="77"/>
      <c r="N39" s="79"/>
    </row>
    <row r="40" spans="1:15" ht="15" x14ac:dyDescent="0.25">
      <c r="B40" s="124" t="s">
        <v>66</v>
      </c>
      <c r="C40" s="125"/>
      <c r="H40" s="77"/>
      <c r="I40" s="77"/>
      <c r="J40" s="78"/>
      <c r="K40" s="77"/>
      <c r="L40" s="77"/>
      <c r="M40" s="77"/>
      <c r="N40" s="79"/>
    </row>
    <row r="41" spans="1:15" x14ac:dyDescent="0.2">
      <c r="B41" s="126" t="s">
        <v>44</v>
      </c>
      <c r="C41" s="201" t="s">
        <v>67</v>
      </c>
      <c r="D41" s="202"/>
      <c r="E41" s="202"/>
      <c r="F41" s="202"/>
      <c r="H41" s="77"/>
      <c r="I41" s="77"/>
      <c r="J41" s="78"/>
      <c r="K41" s="77"/>
      <c r="L41" s="77"/>
      <c r="M41" s="77"/>
      <c r="N41" s="79"/>
    </row>
    <row r="42" spans="1:15" x14ac:dyDescent="0.2">
      <c r="B42" s="127" t="s">
        <v>42</v>
      </c>
      <c r="C42" s="201" t="s">
        <v>68</v>
      </c>
      <c r="D42" s="202"/>
      <c r="E42" s="202"/>
      <c r="F42" s="202"/>
      <c r="H42" s="77"/>
      <c r="I42" s="77"/>
      <c r="J42" s="78"/>
      <c r="K42" s="77"/>
      <c r="L42" s="77"/>
      <c r="M42" s="77"/>
      <c r="N42" s="79"/>
    </row>
    <row r="43" spans="1:15" x14ac:dyDescent="0.2">
      <c r="B43" s="128" t="s">
        <v>43</v>
      </c>
      <c r="C43" s="201" t="s">
        <v>69</v>
      </c>
      <c r="D43" s="202"/>
      <c r="E43" s="202"/>
      <c r="F43" s="202"/>
      <c r="H43" s="77"/>
      <c r="I43" s="77"/>
      <c r="J43" s="78"/>
      <c r="K43" s="77"/>
      <c r="L43" s="77"/>
      <c r="M43" s="77"/>
      <c r="N43" s="79"/>
    </row>
    <row r="44" spans="1:15" x14ac:dyDescent="0.2">
      <c r="B44" s="129" t="s">
        <v>45</v>
      </c>
      <c r="C44" s="201" t="s">
        <v>70</v>
      </c>
      <c r="D44" s="202"/>
      <c r="E44" s="202"/>
      <c r="F44" s="202"/>
      <c r="H44" s="77"/>
      <c r="I44" s="77"/>
      <c r="J44" s="78"/>
      <c r="K44" s="77"/>
      <c r="L44" s="77"/>
      <c r="M44" s="77"/>
      <c r="N44" s="79"/>
    </row>
    <row r="45" spans="1:15" x14ac:dyDescent="0.2">
      <c r="B45" s="130" t="s">
        <v>46</v>
      </c>
      <c r="C45" s="201" t="s">
        <v>71</v>
      </c>
      <c r="D45" s="202"/>
      <c r="E45" s="202"/>
      <c r="F45" s="202"/>
      <c r="H45" s="77"/>
      <c r="I45" s="77"/>
      <c r="J45" s="78"/>
      <c r="K45" s="77"/>
      <c r="L45" s="77"/>
      <c r="M45" s="77"/>
      <c r="N45" s="79"/>
    </row>
    <row r="46" spans="1:15" x14ac:dyDescent="0.2">
      <c r="B46" s="131" t="s">
        <v>47</v>
      </c>
      <c r="C46" s="201" t="s">
        <v>72</v>
      </c>
      <c r="D46" s="202"/>
      <c r="E46" s="202"/>
      <c r="F46" s="202"/>
      <c r="H46" s="77"/>
      <c r="I46" s="77"/>
      <c r="J46" s="78"/>
      <c r="K46" s="77"/>
      <c r="L46" s="77"/>
      <c r="M46" s="77"/>
      <c r="N46" s="79"/>
    </row>
    <row r="47" spans="1:15" x14ac:dyDescent="0.2">
      <c r="C47" s="77"/>
      <c r="H47" s="77"/>
      <c r="I47" s="77"/>
      <c r="J47" s="78"/>
      <c r="K47" s="77"/>
      <c r="L47" s="77"/>
      <c r="M47" s="77"/>
      <c r="N47" s="79"/>
    </row>
  </sheetData>
  <sheetProtection autoFilter="0"/>
  <mergeCells count="13">
    <mergeCell ref="B32:B33"/>
    <mergeCell ref="F37:K37"/>
    <mergeCell ref="B2:O2"/>
    <mergeCell ref="F4:O4"/>
    <mergeCell ref="Q4:Y4"/>
    <mergeCell ref="B6:B25"/>
    <mergeCell ref="B26:B31"/>
    <mergeCell ref="C46:F46"/>
    <mergeCell ref="C41:F41"/>
    <mergeCell ref="C42:F42"/>
    <mergeCell ref="C43:F43"/>
    <mergeCell ref="C44:F44"/>
    <mergeCell ref="C45:F45"/>
  </mergeCells>
  <phoneticPr fontId="17" type="noConversion"/>
  <conditionalFormatting sqref="O6:O34">
    <cfRule type="cellIs" dxfId="21" priority="31" operator="equal">
      <formula>$B$46</formula>
    </cfRule>
    <cfRule type="cellIs" dxfId="20" priority="32" operator="equal">
      <formula>$B$45</formula>
    </cfRule>
    <cfRule type="cellIs" dxfId="19" priority="33" operator="equal">
      <formula>$B$43</formula>
    </cfRule>
    <cfRule type="cellIs" dxfId="18" priority="34" operator="equal">
      <formula>$B$44</formula>
    </cfRule>
    <cfRule type="cellIs" dxfId="17" priority="35" operator="equal">
      <formula>$B$42</formula>
    </cfRule>
    <cfRule type="cellIs" dxfId="16" priority="36" operator="equal">
      <formula>$B$41</formula>
    </cfRule>
  </conditionalFormatting>
  <dataValidations count="1">
    <dataValidation type="list" allowBlank="1" showErrorMessage="1" sqref="O6:O34" xr:uid="{00000000-0002-0000-0100-000000000000}">
      <formula1>$B$41:$B$46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A1:AL1029"/>
  <sheetViews>
    <sheetView tabSelected="1" zoomScaleNormal="100" workbookViewId="0">
      <selection activeCell="F20" sqref="F20"/>
    </sheetView>
  </sheetViews>
  <sheetFormatPr baseColWidth="10" defaultColWidth="12.625" defaultRowHeight="14.25" x14ac:dyDescent="0.2"/>
  <cols>
    <col min="1" max="1" width="6.875" customWidth="1"/>
    <col min="2" max="2" width="16.5" customWidth="1"/>
    <col min="3" max="3" width="13.625" customWidth="1"/>
    <col min="4" max="4" width="15.625" customWidth="1"/>
    <col min="5" max="5" width="17.25" bestFit="1" customWidth="1"/>
    <col min="6" max="6" width="17.5" bestFit="1" customWidth="1"/>
    <col min="7" max="7" width="15.875" customWidth="1"/>
    <col min="8" max="8" width="17.75" customWidth="1"/>
    <col min="9" max="9" width="16.375" bestFit="1" customWidth="1"/>
    <col min="10" max="10" width="12.5" bestFit="1" customWidth="1"/>
    <col min="11" max="11" width="25.625" bestFit="1" customWidth="1"/>
    <col min="12" max="12" width="25" bestFit="1" customWidth="1"/>
    <col min="13" max="13" width="18.875" bestFit="1" customWidth="1"/>
    <col min="14" max="14" width="77.25" customWidth="1"/>
    <col min="15" max="15" width="89.375" bestFit="1" customWidth="1"/>
    <col min="16" max="16" width="59.25" bestFit="1" customWidth="1"/>
    <col min="17" max="17" width="91.75" bestFit="1" customWidth="1"/>
    <col min="18" max="18" width="81.5" bestFit="1" customWidth="1"/>
    <col min="19" max="19" width="21" bestFit="1" customWidth="1"/>
    <col min="20" max="20" width="28.625" hidden="1" customWidth="1"/>
    <col min="21" max="21" width="18.75" bestFit="1" customWidth="1"/>
    <col min="22" max="22" width="50.5" customWidth="1"/>
    <col min="23" max="23" width="15.625" bestFit="1" customWidth="1"/>
    <col min="24" max="24" width="29.625" bestFit="1" customWidth="1"/>
    <col min="25" max="25" width="31.5" bestFit="1" customWidth="1"/>
    <col min="26" max="26" width="26.875" bestFit="1" customWidth="1"/>
  </cols>
  <sheetData>
    <row r="1" spans="1:38" s="169" customFormat="1" ht="36" customHeight="1" x14ac:dyDescent="0.2">
      <c r="A1" s="21" t="s">
        <v>12</v>
      </c>
      <c r="B1" s="21" t="s">
        <v>13</v>
      </c>
      <c r="C1" s="21" t="s">
        <v>121</v>
      </c>
      <c r="D1" s="21" t="s">
        <v>15</v>
      </c>
      <c r="E1" s="167" t="s">
        <v>123</v>
      </c>
      <c r="F1" s="170" t="s">
        <v>154</v>
      </c>
      <c r="G1" s="21" t="s">
        <v>19</v>
      </c>
      <c r="H1" s="21" t="s">
        <v>127</v>
      </c>
      <c r="I1" s="21" t="s">
        <v>124</v>
      </c>
      <c r="J1" s="39" t="s">
        <v>126</v>
      </c>
      <c r="K1" s="21" t="s">
        <v>122</v>
      </c>
      <c r="L1" s="40" t="s">
        <v>125</v>
      </c>
      <c r="M1" s="40" t="s">
        <v>17</v>
      </c>
      <c r="N1" s="21" t="s">
        <v>145</v>
      </c>
      <c r="O1" s="21" t="s">
        <v>128</v>
      </c>
      <c r="P1" s="22" t="s">
        <v>18</v>
      </c>
      <c r="Q1" s="41" t="s">
        <v>130</v>
      </c>
      <c r="R1" s="41" t="s">
        <v>129</v>
      </c>
      <c r="S1" s="21" t="s">
        <v>24</v>
      </c>
      <c r="T1" s="22" t="s">
        <v>26</v>
      </c>
      <c r="U1" s="21" t="s">
        <v>28</v>
      </c>
      <c r="V1" s="182" t="s">
        <v>30</v>
      </c>
      <c r="W1" s="182" t="s">
        <v>15</v>
      </c>
      <c r="X1" s="21" t="s">
        <v>33</v>
      </c>
      <c r="Y1" s="183" t="s">
        <v>35</v>
      </c>
      <c r="Z1" s="184" t="s">
        <v>36</v>
      </c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</row>
    <row r="2" spans="1:38" s="60" customFormat="1" ht="15" x14ac:dyDescent="0.2">
      <c r="A2" s="44"/>
      <c r="B2" s="45"/>
      <c r="C2" s="44"/>
      <c r="D2" s="46"/>
      <c r="E2" s="47"/>
      <c r="F2" s="150"/>
      <c r="G2" s="172"/>
      <c r="H2" s="48"/>
      <c r="I2" s="49"/>
      <c r="J2" s="49"/>
      <c r="K2" s="49"/>
      <c r="L2" s="50"/>
      <c r="M2" s="51"/>
      <c r="N2" s="52"/>
      <c r="O2" s="52"/>
      <c r="P2" s="63"/>
      <c r="Q2" s="53"/>
      <c r="R2" s="53"/>
      <c r="S2" s="54"/>
      <c r="T2" s="55"/>
      <c r="U2" s="56"/>
      <c r="V2" s="176"/>
      <c r="W2" s="181"/>
      <c r="X2" s="58"/>
      <c r="Y2" s="177"/>
      <c r="Z2" s="178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</row>
    <row r="3" spans="1:38" s="60" customFormat="1" ht="15" x14ac:dyDescent="0.2">
      <c r="A3" s="44"/>
      <c r="B3" s="45"/>
      <c r="C3" s="44"/>
      <c r="D3" s="46"/>
      <c r="E3" s="47"/>
      <c r="F3" s="150"/>
      <c r="G3" s="172"/>
      <c r="H3" s="149"/>
      <c r="I3" s="61"/>
      <c r="J3" s="49"/>
      <c r="K3" s="49"/>
      <c r="L3" s="50"/>
      <c r="M3" s="51"/>
      <c r="N3" s="52"/>
      <c r="O3" s="52"/>
      <c r="P3" s="63"/>
      <c r="Q3" s="53"/>
      <c r="R3" s="53"/>
      <c r="S3" s="54"/>
      <c r="T3" s="62"/>
      <c r="U3" s="56"/>
      <c r="V3" s="176"/>
      <c r="W3" s="181"/>
      <c r="X3" s="58"/>
      <c r="Y3" s="179"/>
      <c r="Z3" s="178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</row>
    <row r="4" spans="1:38" s="60" customFormat="1" ht="15" x14ac:dyDescent="0.2">
      <c r="A4" s="44"/>
      <c r="B4" s="45"/>
      <c r="C4" s="44"/>
      <c r="D4" s="46"/>
      <c r="E4" s="47"/>
      <c r="F4" s="150"/>
      <c r="G4" s="172"/>
      <c r="H4" s="48"/>
      <c r="I4" s="48"/>
      <c r="J4" s="49"/>
      <c r="K4" s="49"/>
      <c r="L4" s="50"/>
      <c r="M4" s="51"/>
      <c r="N4" s="52"/>
      <c r="O4" s="52"/>
      <c r="P4" s="63"/>
      <c r="Q4" s="53"/>
      <c r="R4" s="53"/>
      <c r="S4" s="54"/>
      <c r="T4" s="62"/>
      <c r="U4" s="56"/>
      <c r="V4" s="176"/>
      <c r="W4" s="181"/>
      <c r="X4" s="58"/>
      <c r="Y4" s="179"/>
      <c r="Z4" s="178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spans="1:38" s="60" customFormat="1" ht="15" x14ac:dyDescent="0.2">
      <c r="A5" s="44"/>
      <c r="B5" s="45"/>
      <c r="C5" s="44"/>
      <c r="D5" s="46"/>
      <c r="E5" s="47"/>
      <c r="F5" s="150"/>
      <c r="G5" s="172"/>
      <c r="H5" s="149"/>
      <c r="I5" s="48"/>
      <c r="J5" s="49"/>
      <c r="K5" s="49"/>
      <c r="L5" s="50"/>
      <c r="M5" s="51"/>
      <c r="N5" s="52"/>
      <c r="O5" s="52"/>
      <c r="P5" s="63"/>
      <c r="Q5" s="53"/>
      <c r="R5" s="53"/>
      <c r="S5" s="54"/>
      <c r="T5" s="62"/>
      <c r="U5" s="56"/>
      <c r="V5" s="176"/>
      <c r="W5" s="181"/>
      <c r="X5" s="58"/>
      <c r="Y5" s="179"/>
      <c r="Z5" s="178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</row>
    <row r="6" spans="1:38" s="60" customFormat="1" ht="15" x14ac:dyDescent="0.2">
      <c r="A6" s="44"/>
      <c r="B6" s="45"/>
      <c r="C6" s="44"/>
      <c r="D6" s="46"/>
      <c r="E6" s="47"/>
      <c r="F6" s="150"/>
      <c r="G6" s="172"/>
      <c r="H6" s="48"/>
      <c r="I6" s="48"/>
      <c r="J6" s="49"/>
      <c r="K6" s="49"/>
      <c r="L6" s="50"/>
      <c r="M6" s="51"/>
      <c r="N6" s="52"/>
      <c r="O6" s="52"/>
      <c r="P6" s="63"/>
      <c r="Q6" s="53"/>
      <c r="R6" s="53"/>
      <c r="S6" s="54"/>
      <c r="T6" s="55"/>
      <c r="U6" s="56"/>
      <c r="V6" s="176"/>
      <c r="W6" s="181"/>
      <c r="X6" s="58"/>
      <c r="Y6" s="180"/>
      <c r="Z6" s="178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</row>
    <row r="7" spans="1:38" s="60" customFormat="1" ht="15" x14ac:dyDescent="0.2">
      <c r="A7" s="44"/>
      <c r="B7" s="45"/>
      <c r="C7" s="44"/>
      <c r="D7" s="46"/>
      <c r="E7" s="47"/>
      <c r="F7" s="150"/>
      <c r="G7" s="172"/>
      <c r="H7" s="149"/>
      <c r="I7" s="48"/>
      <c r="J7" s="49"/>
      <c r="K7" s="49"/>
      <c r="L7" s="50"/>
      <c r="M7" s="51"/>
      <c r="N7" s="52"/>
      <c r="O7" s="52"/>
      <c r="P7" s="63"/>
      <c r="Q7" s="53"/>
      <c r="R7" s="53"/>
      <c r="S7" s="54"/>
      <c r="T7" s="55"/>
      <c r="U7" s="56"/>
      <c r="V7" s="176"/>
      <c r="W7" s="181"/>
      <c r="X7" s="58"/>
      <c r="Y7" s="180"/>
      <c r="Z7" s="178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</row>
    <row r="8" spans="1:38" s="60" customFormat="1" ht="15" x14ac:dyDescent="0.2">
      <c r="A8" s="44"/>
      <c r="B8" s="45"/>
      <c r="C8" s="44"/>
      <c r="D8" s="46"/>
      <c r="E8" s="47"/>
      <c r="F8" s="150"/>
      <c r="G8" s="172"/>
      <c r="H8" s="48"/>
      <c r="I8" s="48"/>
      <c r="J8" s="49"/>
      <c r="K8" s="49"/>
      <c r="L8" s="50"/>
      <c r="M8" s="51"/>
      <c r="N8" s="52"/>
      <c r="O8" s="52"/>
      <c r="P8" s="63"/>
      <c r="Q8" s="53"/>
      <c r="R8" s="53"/>
      <c r="S8" s="54"/>
      <c r="T8" s="55"/>
      <c r="U8" s="56"/>
      <c r="V8" s="176"/>
      <c r="W8" s="181"/>
      <c r="X8" s="58"/>
      <c r="Y8" s="180"/>
      <c r="Z8" s="178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</row>
    <row r="9" spans="1:38" s="60" customFormat="1" ht="15" x14ac:dyDescent="0.2">
      <c r="A9" s="44"/>
      <c r="B9" s="45"/>
      <c r="C9" s="44"/>
      <c r="D9" s="46"/>
      <c r="E9" s="47"/>
      <c r="F9" s="150"/>
      <c r="G9" s="172"/>
      <c r="H9" s="149"/>
      <c r="I9" s="48"/>
      <c r="J9" s="49"/>
      <c r="K9" s="49"/>
      <c r="L9" s="50"/>
      <c r="M9" s="51"/>
      <c r="N9" s="52"/>
      <c r="O9" s="52"/>
      <c r="P9" s="63"/>
      <c r="Q9" s="53"/>
      <c r="R9" s="53"/>
      <c r="S9" s="54"/>
      <c r="T9" s="55"/>
      <c r="U9" s="56"/>
      <c r="V9" s="176"/>
      <c r="W9" s="181"/>
      <c r="X9" s="58"/>
      <c r="Y9" s="180"/>
      <c r="Z9" s="178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</row>
    <row r="10" spans="1:38" s="60" customFormat="1" ht="15" x14ac:dyDescent="0.2">
      <c r="A10" s="44"/>
      <c r="B10" s="45"/>
      <c r="C10" s="44"/>
      <c r="D10" s="46"/>
      <c r="E10" s="47"/>
      <c r="F10" s="150"/>
      <c r="G10" s="172"/>
      <c r="H10" s="48"/>
      <c r="I10" s="48"/>
      <c r="J10" s="49"/>
      <c r="K10" s="49"/>
      <c r="L10" s="50"/>
      <c r="M10" s="51"/>
      <c r="N10" s="52"/>
      <c r="O10" s="52"/>
      <c r="P10" s="63"/>
      <c r="Q10" s="53"/>
      <c r="R10" s="53"/>
      <c r="S10" s="54"/>
      <c r="T10" s="55"/>
      <c r="U10" s="56"/>
      <c r="V10" s="176"/>
      <c r="W10" s="181"/>
      <c r="X10" s="58"/>
      <c r="Y10" s="180"/>
      <c r="Z10" s="178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</row>
    <row r="11" spans="1:38" s="60" customFormat="1" ht="15" x14ac:dyDescent="0.2">
      <c r="A11" s="44"/>
      <c r="B11" s="45"/>
      <c r="C11" s="44"/>
      <c r="D11" s="46"/>
      <c r="E11" s="47"/>
      <c r="F11" s="150"/>
      <c r="G11" s="172"/>
      <c r="H11" s="149"/>
      <c r="I11" s="48"/>
      <c r="J11" s="49"/>
      <c r="K11" s="49"/>
      <c r="L11" s="50"/>
      <c r="M11" s="51"/>
      <c r="N11" s="52"/>
      <c r="O11" s="52"/>
      <c r="P11" s="63"/>
      <c r="Q11" s="53"/>
      <c r="R11" s="53"/>
      <c r="S11" s="54"/>
      <c r="T11" s="55"/>
      <c r="U11" s="56"/>
      <c r="V11" s="176"/>
      <c r="W11" s="181"/>
      <c r="X11" s="58"/>
      <c r="Y11" s="180"/>
      <c r="Z11" s="178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</row>
    <row r="12" spans="1:38" s="60" customFormat="1" ht="15" x14ac:dyDescent="0.2">
      <c r="A12" s="44"/>
      <c r="B12" s="45"/>
      <c r="C12" s="44"/>
      <c r="D12" s="46"/>
      <c r="E12" s="47"/>
      <c r="F12" s="150"/>
      <c r="G12" s="172"/>
      <c r="H12" s="48"/>
      <c r="I12" s="48"/>
      <c r="J12" s="49"/>
      <c r="K12" s="49"/>
      <c r="L12" s="50"/>
      <c r="M12" s="51"/>
      <c r="N12" s="52"/>
      <c r="O12" s="52"/>
      <c r="P12" s="63"/>
      <c r="Q12" s="53"/>
      <c r="R12" s="53"/>
      <c r="S12" s="54"/>
      <c r="T12" s="55"/>
      <c r="U12" s="56"/>
      <c r="V12" s="176"/>
      <c r="W12" s="181"/>
      <c r="X12" s="58"/>
      <c r="Y12" s="180"/>
      <c r="Z12" s="178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</row>
    <row r="13" spans="1:38" s="60" customFormat="1" ht="15" x14ac:dyDescent="0.2">
      <c r="A13" s="44"/>
      <c r="B13" s="45"/>
      <c r="C13" s="44"/>
      <c r="D13" s="46"/>
      <c r="E13" s="47"/>
      <c r="F13" s="150"/>
      <c r="G13" s="172"/>
      <c r="H13" s="149"/>
      <c r="I13" s="48"/>
      <c r="J13" s="49"/>
      <c r="K13" s="49"/>
      <c r="L13" s="50"/>
      <c r="M13" s="51"/>
      <c r="N13" s="52"/>
      <c r="O13" s="52"/>
      <c r="P13" s="63"/>
      <c r="Q13" s="53"/>
      <c r="R13" s="53"/>
      <c r="S13" s="54"/>
      <c r="T13" s="55"/>
      <c r="U13" s="56"/>
      <c r="V13" s="176"/>
      <c r="W13" s="181"/>
      <c r="X13" s="58"/>
      <c r="Y13" s="180"/>
      <c r="Z13" s="178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</row>
    <row r="14" spans="1:38" s="60" customFormat="1" ht="15" x14ac:dyDescent="0.2">
      <c r="A14" s="44"/>
      <c r="B14" s="45"/>
      <c r="C14" s="44"/>
      <c r="D14" s="46"/>
      <c r="E14" s="47"/>
      <c r="F14" s="150"/>
      <c r="G14" s="172"/>
      <c r="H14" s="48"/>
      <c r="I14" s="48"/>
      <c r="J14" s="49"/>
      <c r="K14" s="49"/>
      <c r="L14" s="50"/>
      <c r="M14" s="51"/>
      <c r="N14" s="52"/>
      <c r="O14" s="52"/>
      <c r="P14" s="63"/>
      <c r="Q14" s="53"/>
      <c r="R14" s="53"/>
      <c r="S14" s="54"/>
      <c r="T14" s="55"/>
      <c r="U14" s="56"/>
      <c r="V14" s="176"/>
      <c r="W14" s="181"/>
      <c r="X14" s="58"/>
      <c r="Y14" s="180"/>
      <c r="Z14" s="178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</row>
    <row r="15" spans="1:38" s="60" customFormat="1" ht="15" x14ac:dyDescent="0.2">
      <c r="A15" s="44"/>
      <c r="B15" s="45"/>
      <c r="C15" s="44"/>
      <c r="D15" s="46"/>
      <c r="E15" s="47"/>
      <c r="F15" s="150"/>
      <c r="G15" s="172"/>
      <c r="H15" s="149"/>
      <c r="I15" s="48"/>
      <c r="J15" s="49"/>
      <c r="K15" s="49"/>
      <c r="L15" s="50"/>
      <c r="M15" s="51"/>
      <c r="N15" s="52"/>
      <c r="O15" s="52"/>
      <c r="P15" s="63"/>
      <c r="Q15" s="53"/>
      <c r="R15" s="53"/>
      <c r="S15" s="54"/>
      <c r="T15" s="55"/>
      <c r="U15" s="56"/>
      <c r="V15" s="176"/>
      <c r="W15" s="181"/>
      <c r="X15" s="58"/>
      <c r="Y15" s="180"/>
      <c r="Z15" s="178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</row>
    <row r="16" spans="1:38" s="60" customFormat="1" ht="15" x14ac:dyDescent="0.2">
      <c r="A16" s="44"/>
      <c r="B16" s="45"/>
      <c r="C16" s="44"/>
      <c r="D16" s="46"/>
      <c r="E16" s="47"/>
      <c r="F16" s="150"/>
      <c r="G16" s="172"/>
      <c r="H16" s="48"/>
      <c r="I16" s="48"/>
      <c r="J16" s="49"/>
      <c r="K16" s="49"/>
      <c r="L16" s="58"/>
      <c r="M16" s="51"/>
      <c r="N16" s="52"/>
      <c r="O16" s="52"/>
      <c r="P16" s="63"/>
      <c r="Q16" s="53"/>
      <c r="R16" s="53"/>
      <c r="S16" s="54"/>
      <c r="T16" s="55"/>
      <c r="U16" s="56"/>
      <c r="V16" s="176"/>
      <c r="W16" s="181"/>
      <c r="X16" s="58"/>
      <c r="Y16" s="180"/>
      <c r="Z16" s="178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</row>
    <row r="17" spans="1:38" s="60" customFormat="1" ht="15" x14ac:dyDescent="0.2">
      <c r="A17" s="44"/>
      <c r="B17" s="45"/>
      <c r="C17" s="44"/>
      <c r="D17" s="46"/>
      <c r="E17" s="47"/>
      <c r="F17" s="150"/>
      <c r="G17" s="172"/>
      <c r="H17" s="149"/>
      <c r="I17" s="48"/>
      <c r="J17" s="49"/>
      <c r="K17" s="49"/>
      <c r="L17" s="58"/>
      <c r="M17" s="51"/>
      <c r="N17" s="52"/>
      <c r="O17" s="52"/>
      <c r="P17" s="63"/>
      <c r="Q17" s="53"/>
      <c r="R17" s="53"/>
      <c r="S17" s="54"/>
      <c r="T17" s="55"/>
      <c r="U17" s="56"/>
      <c r="V17" s="176"/>
      <c r="W17" s="181"/>
      <c r="X17" s="58"/>
      <c r="Y17" s="180"/>
      <c r="Z17" s="178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</row>
    <row r="18" spans="1:38" s="60" customFormat="1" ht="15" x14ac:dyDescent="0.2">
      <c r="A18" s="44"/>
      <c r="B18" s="45"/>
      <c r="C18" s="44"/>
      <c r="D18" s="46"/>
      <c r="E18" s="47"/>
      <c r="F18" s="150"/>
      <c r="G18" s="172"/>
      <c r="H18" s="48"/>
      <c r="I18" s="49"/>
      <c r="J18" s="49"/>
      <c r="K18" s="49"/>
      <c r="L18" s="58"/>
      <c r="M18" s="51"/>
      <c r="N18" s="52"/>
      <c r="O18" s="52"/>
      <c r="P18" s="63"/>
      <c r="Q18" s="53"/>
      <c r="R18" s="53"/>
      <c r="S18" s="54"/>
      <c r="T18" s="55"/>
      <c r="U18" s="56"/>
      <c r="V18" s="176"/>
      <c r="W18" s="181"/>
      <c r="X18" s="58"/>
      <c r="Y18" s="180"/>
      <c r="Z18" s="178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</row>
    <row r="19" spans="1:38" s="60" customFormat="1" ht="15" x14ac:dyDescent="0.2">
      <c r="A19" s="44"/>
      <c r="B19" s="45"/>
      <c r="C19" s="44"/>
      <c r="D19" s="46"/>
      <c r="E19" s="47"/>
      <c r="F19" s="150"/>
      <c r="G19" s="172"/>
      <c r="H19" s="149"/>
      <c r="I19" s="61"/>
      <c r="J19" s="49"/>
      <c r="K19" s="49"/>
      <c r="L19" s="58"/>
      <c r="M19" s="51"/>
      <c r="N19" s="52"/>
      <c r="O19" s="52"/>
      <c r="P19" s="63"/>
      <c r="Q19" s="53"/>
      <c r="R19" s="53"/>
      <c r="S19" s="54"/>
      <c r="T19" s="55"/>
      <c r="U19" s="56"/>
      <c r="V19" s="176"/>
      <c r="W19" s="181"/>
      <c r="X19" s="58"/>
      <c r="Y19" s="180"/>
      <c r="Z19" s="178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</row>
    <row r="20" spans="1:38" s="60" customFormat="1" ht="15" x14ac:dyDescent="0.2">
      <c r="A20" s="44"/>
      <c r="B20" s="45"/>
      <c r="C20" s="44"/>
      <c r="D20" s="46"/>
      <c r="E20" s="47"/>
      <c r="F20" s="150"/>
      <c r="G20" s="172"/>
      <c r="H20" s="48"/>
      <c r="I20" s="48"/>
      <c r="J20" s="49"/>
      <c r="K20" s="49"/>
      <c r="L20" s="58"/>
      <c r="M20" s="51"/>
      <c r="N20" s="52"/>
      <c r="O20" s="52"/>
      <c r="P20" s="63"/>
      <c r="Q20" s="53"/>
      <c r="R20" s="53"/>
      <c r="S20" s="54"/>
      <c r="T20" s="55"/>
      <c r="U20" s="56"/>
      <c r="V20" s="176"/>
      <c r="W20" s="181"/>
      <c r="X20" s="58"/>
      <c r="Y20" s="180"/>
      <c r="Z20" s="178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</row>
    <row r="21" spans="1:38" s="60" customFormat="1" ht="15" x14ac:dyDescent="0.2">
      <c r="A21" s="44"/>
      <c r="B21" s="45"/>
      <c r="C21" s="44"/>
      <c r="D21" s="46"/>
      <c r="E21" s="47"/>
      <c r="F21" s="150"/>
      <c r="G21" s="172"/>
      <c r="H21" s="149"/>
      <c r="I21" s="48"/>
      <c r="J21" s="49"/>
      <c r="K21" s="49"/>
      <c r="L21" s="58"/>
      <c r="M21" s="64"/>
      <c r="N21" s="52"/>
      <c r="O21" s="52"/>
      <c r="P21" s="63"/>
      <c r="Q21" s="53"/>
      <c r="R21" s="53"/>
      <c r="S21" s="54"/>
      <c r="T21" s="55"/>
      <c r="U21" s="56"/>
      <c r="V21" s="176"/>
      <c r="W21" s="181"/>
      <c r="X21" s="58"/>
      <c r="Y21" s="180"/>
      <c r="Z21" s="178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</row>
    <row r="22" spans="1:38" s="60" customFormat="1" ht="15" x14ac:dyDescent="0.2">
      <c r="A22" s="44"/>
      <c r="B22" s="45"/>
      <c r="C22" s="44"/>
      <c r="D22" s="46"/>
      <c r="E22" s="47"/>
      <c r="F22" s="150"/>
      <c r="G22" s="172"/>
      <c r="H22" s="48"/>
      <c r="I22" s="48"/>
      <c r="J22" s="49"/>
      <c r="K22" s="49"/>
      <c r="L22" s="58"/>
      <c r="M22" s="64"/>
      <c r="N22" s="52"/>
      <c r="O22" s="52"/>
      <c r="P22" s="63"/>
      <c r="Q22" s="53"/>
      <c r="R22" s="53"/>
      <c r="S22" s="54"/>
      <c r="T22" s="55"/>
      <c r="U22" s="56"/>
      <c r="V22" s="176"/>
      <c r="W22" s="181"/>
      <c r="X22" s="58"/>
      <c r="Y22" s="180"/>
      <c r="Z22" s="178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</row>
    <row r="23" spans="1:38" s="60" customFormat="1" ht="15" x14ac:dyDescent="0.2">
      <c r="A23" s="44"/>
      <c r="B23" s="45"/>
      <c r="C23" s="44"/>
      <c r="D23" s="46"/>
      <c r="E23" s="47"/>
      <c r="F23" s="150"/>
      <c r="G23" s="172"/>
      <c r="H23" s="149"/>
      <c r="I23" s="48"/>
      <c r="J23" s="49"/>
      <c r="K23" s="49"/>
      <c r="L23" s="50"/>
      <c r="M23" s="51"/>
      <c r="N23" s="52"/>
      <c r="O23" s="52"/>
      <c r="P23" s="63"/>
      <c r="Q23" s="53"/>
      <c r="R23" s="53"/>
      <c r="S23" s="54"/>
      <c r="T23" s="55"/>
      <c r="U23" s="56"/>
      <c r="V23" s="176"/>
      <c r="W23" s="181"/>
      <c r="X23" s="58"/>
      <c r="Y23" s="180"/>
      <c r="Z23" s="178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</row>
    <row r="24" spans="1:38" s="60" customFormat="1" ht="15" x14ac:dyDescent="0.2">
      <c r="A24" s="44"/>
      <c r="B24" s="45"/>
      <c r="C24" s="44"/>
      <c r="D24" s="46"/>
      <c r="E24" s="47"/>
      <c r="F24" s="150"/>
      <c r="G24" s="172"/>
      <c r="H24" s="48"/>
      <c r="I24" s="48"/>
      <c r="J24" s="49"/>
      <c r="K24" s="49"/>
      <c r="L24" s="50"/>
      <c r="M24" s="51"/>
      <c r="N24" s="52"/>
      <c r="O24" s="52"/>
      <c r="P24" s="63"/>
      <c r="Q24" s="53"/>
      <c r="R24" s="53"/>
      <c r="S24" s="54"/>
      <c r="T24" s="55"/>
      <c r="U24" s="56"/>
      <c r="V24" s="176"/>
      <c r="W24" s="181"/>
      <c r="X24" s="58"/>
      <c r="Y24" s="180"/>
      <c r="Z24" s="178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</row>
    <row r="25" spans="1:38" s="60" customFormat="1" ht="15" x14ac:dyDescent="0.2">
      <c r="A25" s="44"/>
      <c r="B25" s="45"/>
      <c r="C25" s="44"/>
      <c r="D25" s="46"/>
      <c r="E25" s="47"/>
      <c r="F25" s="150"/>
      <c r="G25" s="172"/>
      <c r="H25" s="149"/>
      <c r="I25" s="48"/>
      <c r="J25" s="49"/>
      <c r="K25" s="49"/>
      <c r="L25" s="50"/>
      <c r="M25" s="51"/>
      <c r="N25" s="52"/>
      <c r="O25" s="52"/>
      <c r="P25" s="63"/>
      <c r="Q25" s="53"/>
      <c r="R25" s="53"/>
      <c r="S25" s="54"/>
      <c r="T25" s="55"/>
      <c r="U25" s="56"/>
      <c r="V25" s="176"/>
      <c r="W25" s="181"/>
      <c r="X25" s="58"/>
      <c r="Y25" s="180"/>
      <c r="Z25" s="178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</row>
    <row r="26" spans="1:38" s="60" customFormat="1" ht="15" x14ac:dyDescent="0.2">
      <c r="A26" s="44"/>
      <c r="B26" s="45"/>
      <c r="C26" s="44"/>
      <c r="D26" s="46"/>
      <c r="E26" s="47"/>
      <c r="F26" s="150"/>
      <c r="G26" s="172"/>
      <c r="H26" s="48"/>
      <c r="I26" s="48"/>
      <c r="J26" s="49"/>
      <c r="K26" s="49"/>
      <c r="L26" s="50"/>
      <c r="M26" s="51"/>
      <c r="N26" s="52"/>
      <c r="O26" s="52"/>
      <c r="P26" s="63"/>
      <c r="Q26" s="53"/>
      <c r="R26" s="53"/>
      <c r="S26" s="54"/>
      <c r="T26" s="55"/>
      <c r="U26" s="56"/>
      <c r="V26" s="176"/>
      <c r="W26" s="181"/>
      <c r="X26" s="58"/>
      <c r="Y26" s="180"/>
      <c r="Z26" s="178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</row>
    <row r="27" spans="1:38" s="60" customFormat="1" ht="15" x14ac:dyDescent="0.2">
      <c r="A27" s="44"/>
      <c r="B27" s="45"/>
      <c r="C27" s="44"/>
      <c r="D27" s="46"/>
      <c r="E27" s="47"/>
      <c r="F27" s="150"/>
      <c r="G27" s="172"/>
      <c r="H27" s="149"/>
      <c r="I27" s="48"/>
      <c r="J27" s="49"/>
      <c r="K27" s="49"/>
      <c r="L27" s="50"/>
      <c r="M27" s="51"/>
      <c r="N27" s="52"/>
      <c r="O27" s="52"/>
      <c r="P27" s="63"/>
      <c r="Q27" s="53"/>
      <c r="R27" s="53"/>
      <c r="S27" s="54"/>
      <c r="T27" s="55"/>
      <c r="U27" s="56"/>
      <c r="V27" s="176"/>
      <c r="W27" s="181"/>
      <c r="X27" s="58"/>
      <c r="Y27" s="180"/>
      <c r="Z27" s="178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</row>
    <row r="28" spans="1:38" s="60" customFormat="1" ht="15" x14ac:dyDescent="0.2">
      <c r="A28" s="44"/>
      <c r="B28" s="45"/>
      <c r="C28" s="44"/>
      <c r="D28" s="46"/>
      <c r="E28" s="47"/>
      <c r="F28" s="150"/>
      <c r="G28" s="172"/>
      <c r="H28" s="48"/>
      <c r="I28" s="48"/>
      <c r="J28" s="49"/>
      <c r="K28" s="65"/>
      <c r="L28" s="50"/>
      <c r="M28" s="51"/>
      <c r="N28" s="52"/>
      <c r="O28" s="52"/>
      <c r="P28" s="63"/>
      <c r="Q28" s="53"/>
      <c r="R28" s="53"/>
      <c r="S28" s="54"/>
      <c r="T28" s="55"/>
      <c r="U28" s="56"/>
      <c r="V28" s="176"/>
      <c r="W28" s="181"/>
      <c r="X28" s="58"/>
      <c r="Y28" s="180"/>
      <c r="Z28" s="178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</row>
    <row r="29" spans="1:38" s="60" customFormat="1" ht="15" x14ac:dyDescent="0.2">
      <c r="A29" s="44"/>
      <c r="B29" s="45"/>
      <c r="C29" s="44"/>
      <c r="D29" s="46"/>
      <c r="E29" s="47"/>
      <c r="F29" s="150"/>
      <c r="G29" s="172"/>
      <c r="H29" s="149"/>
      <c r="I29" s="48"/>
      <c r="J29" s="49"/>
      <c r="K29" s="65"/>
      <c r="L29" s="50"/>
      <c r="M29" s="51"/>
      <c r="N29" s="52"/>
      <c r="O29" s="52"/>
      <c r="P29" s="63"/>
      <c r="Q29" s="53"/>
      <c r="R29" s="53"/>
      <c r="S29" s="54"/>
      <c r="T29" s="55"/>
      <c r="U29" s="56"/>
      <c r="V29" s="176"/>
      <c r="W29" s="181"/>
      <c r="X29" s="58"/>
      <c r="Y29" s="180"/>
      <c r="Z29" s="178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</row>
    <row r="30" spans="1:38" s="60" customFormat="1" ht="15" x14ac:dyDescent="0.2">
      <c r="A30" s="44"/>
      <c r="B30" s="45"/>
      <c r="C30" s="44"/>
      <c r="D30" s="46"/>
      <c r="E30" s="47"/>
      <c r="F30" s="150"/>
      <c r="G30" s="172"/>
      <c r="H30" s="48"/>
      <c r="I30" s="48"/>
      <c r="J30" s="49"/>
      <c r="K30" s="65"/>
      <c r="L30" s="58"/>
      <c r="M30" s="51"/>
      <c r="N30" s="52"/>
      <c r="O30" s="52"/>
      <c r="P30" s="63"/>
      <c r="Q30" s="53"/>
      <c r="R30" s="53"/>
      <c r="S30" s="54"/>
      <c r="T30" s="55"/>
      <c r="U30" s="56"/>
      <c r="V30" s="176"/>
      <c r="W30" s="181"/>
      <c r="X30" s="58"/>
      <c r="Y30" s="180"/>
      <c r="Z30" s="178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</row>
    <row r="31" spans="1:38" s="60" customFormat="1" ht="15" x14ac:dyDescent="0.2">
      <c r="A31" s="44"/>
      <c r="B31" s="45"/>
      <c r="C31" s="44"/>
      <c r="D31" s="46"/>
      <c r="E31" s="47"/>
      <c r="F31" s="150"/>
      <c r="G31" s="172"/>
      <c r="H31" s="149"/>
      <c r="I31" s="48"/>
      <c r="J31" s="49"/>
      <c r="K31" s="65"/>
      <c r="L31" s="58"/>
      <c r="M31" s="51"/>
      <c r="N31" s="52"/>
      <c r="O31" s="52"/>
      <c r="P31" s="63"/>
      <c r="Q31" s="53"/>
      <c r="R31" s="53"/>
      <c r="S31" s="54"/>
      <c r="T31" s="55"/>
      <c r="U31" s="56"/>
      <c r="V31" s="176"/>
      <c r="W31" s="181"/>
      <c r="X31" s="58"/>
      <c r="Y31" s="180"/>
      <c r="Z31" s="178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</row>
    <row r="32" spans="1:38" s="60" customFormat="1" ht="15" x14ac:dyDescent="0.2">
      <c r="A32" s="44"/>
      <c r="B32" s="45"/>
      <c r="C32" s="44"/>
      <c r="D32" s="46"/>
      <c r="E32" s="47"/>
      <c r="F32" s="150"/>
      <c r="G32" s="172"/>
      <c r="H32" s="48"/>
      <c r="I32" s="48"/>
      <c r="J32" s="49"/>
      <c r="K32" s="65"/>
      <c r="L32" s="58"/>
      <c r="M32" s="51"/>
      <c r="N32" s="52"/>
      <c r="O32" s="52"/>
      <c r="P32" s="63"/>
      <c r="Q32" s="53"/>
      <c r="R32" s="53"/>
      <c r="S32" s="54"/>
      <c r="T32" s="55"/>
      <c r="U32" s="56"/>
      <c r="V32" s="176"/>
      <c r="W32" s="181"/>
      <c r="X32" s="58"/>
      <c r="Y32" s="180"/>
      <c r="Z32" s="178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</row>
    <row r="33" spans="1:38" s="60" customFormat="1" ht="15" x14ac:dyDescent="0.2">
      <c r="A33" s="44"/>
      <c r="B33" s="45"/>
      <c r="C33" s="44"/>
      <c r="D33" s="46"/>
      <c r="E33" s="47"/>
      <c r="F33" s="150"/>
      <c r="G33" s="172"/>
      <c r="H33" s="149"/>
      <c r="I33" s="48"/>
      <c r="J33" s="49"/>
      <c r="K33" s="65"/>
      <c r="L33" s="58"/>
      <c r="M33" s="51"/>
      <c r="N33" s="52"/>
      <c r="O33" s="52"/>
      <c r="P33" s="63"/>
      <c r="Q33" s="53"/>
      <c r="R33" s="53"/>
      <c r="S33" s="54"/>
      <c r="T33" s="55"/>
      <c r="U33" s="56"/>
      <c r="V33" s="176"/>
      <c r="W33" s="181"/>
      <c r="X33" s="58"/>
      <c r="Y33" s="180"/>
      <c r="Z33" s="178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</row>
    <row r="34" spans="1:38" s="60" customFormat="1" ht="15" x14ac:dyDescent="0.2">
      <c r="A34" s="44"/>
      <c r="B34" s="45"/>
      <c r="C34" s="44"/>
      <c r="D34" s="46"/>
      <c r="E34" s="47"/>
      <c r="F34" s="150"/>
      <c r="G34" s="172"/>
      <c r="H34" s="48"/>
      <c r="I34" s="48"/>
      <c r="J34" s="49"/>
      <c r="K34" s="65"/>
      <c r="L34" s="58"/>
      <c r="M34" s="51"/>
      <c r="N34" s="52"/>
      <c r="O34" s="52"/>
      <c r="P34" s="63"/>
      <c r="Q34" s="53"/>
      <c r="R34" s="53"/>
      <c r="S34" s="54"/>
      <c r="T34" s="55"/>
      <c r="U34" s="56"/>
      <c r="V34" s="176"/>
      <c r="W34" s="181"/>
      <c r="X34" s="58"/>
      <c r="Y34" s="180"/>
      <c r="Z34" s="178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</row>
    <row r="35" spans="1:38" s="60" customFormat="1" ht="15" x14ac:dyDescent="0.2">
      <c r="A35" s="44"/>
      <c r="B35" s="45"/>
      <c r="C35" s="44"/>
      <c r="D35" s="46"/>
      <c r="E35" s="47"/>
      <c r="F35" s="150"/>
      <c r="G35" s="172"/>
      <c r="H35" s="149"/>
      <c r="I35" s="48"/>
      <c r="J35" s="49"/>
      <c r="K35" s="65"/>
      <c r="L35" s="58"/>
      <c r="M35" s="51"/>
      <c r="N35" s="52"/>
      <c r="O35" s="52"/>
      <c r="P35" s="63"/>
      <c r="Q35" s="53"/>
      <c r="R35" s="53"/>
      <c r="S35" s="54"/>
      <c r="T35" s="55"/>
      <c r="U35" s="56"/>
      <c r="V35" s="176"/>
      <c r="W35" s="181"/>
      <c r="X35" s="58"/>
      <c r="Y35" s="180"/>
      <c r="Z35" s="178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</row>
    <row r="36" spans="1:38" s="60" customFormat="1" ht="15" x14ac:dyDescent="0.2">
      <c r="A36" s="44"/>
      <c r="B36" s="45"/>
      <c r="C36" s="44"/>
      <c r="D36" s="46"/>
      <c r="E36" s="47"/>
      <c r="F36" s="150"/>
      <c r="G36" s="172"/>
      <c r="H36" s="48"/>
      <c r="I36" s="48"/>
      <c r="J36" s="49"/>
      <c r="K36" s="65"/>
      <c r="L36" s="58"/>
      <c r="M36" s="51"/>
      <c r="N36" s="52"/>
      <c r="O36" s="52"/>
      <c r="P36" s="63"/>
      <c r="Q36" s="53"/>
      <c r="R36" s="53"/>
      <c r="S36" s="54"/>
      <c r="T36" s="55"/>
      <c r="U36" s="56"/>
      <c r="V36" s="176"/>
      <c r="W36" s="181"/>
      <c r="X36" s="58"/>
      <c r="Y36" s="180"/>
      <c r="Z36" s="178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</row>
    <row r="37" spans="1:38" s="60" customFormat="1" ht="15" x14ac:dyDescent="0.2">
      <c r="A37" s="44"/>
      <c r="B37" s="45"/>
      <c r="C37" s="44"/>
      <c r="D37" s="46"/>
      <c r="E37" s="47"/>
      <c r="F37" s="150"/>
      <c r="G37" s="172"/>
      <c r="H37" s="149"/>
      <c r="I37" s="48"/>
      <c r="J37" s="49"/>
      <c r="K37" s="65"/>
      <c r="L37" s="58"/>
      <c r="M37" s="51"/>
      <c r="N37" s="52"/>
      <c r="O37" s="52"/>
      <c r="P37" s="63"/>
      <c r="Q37" s="53"/>
      <c r="R37" s="53"/>
      <c r="S37" s="54"/>
      <c r="T37" s="55"/>
      <c r="U37" s="56"/>
      <c r="V37" s="176"/>
      <c r="W37" s="181"/>
      <c r="X37" s="58"/>
      <c r="Y37" s="180"/>
      <c r="Z37" s="178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</row>
    <row r="38" spans="1:38" s="60" customFormat="1" ht="15" x14ac:dyDescent="0.2">
      <c r="A38" s="44"/>
      <c r="B38" s="45"/>
      <c r="C38" s="44"/>
      <c r="D38" s="46"/>
      <c r="E38" s="47"/>
      <c r="F38" s="150"/>
      <c r="G38" s="172"/>
      <c r="H38" s="48"/>
      <c r="I38" s="48"/>
      <c r="J38" s="49"/>
      <c r="K38" s="65"/>
      <c r="L38" s="58"/>
      <c r="M38" s="51"/>
      <c r="N38" s="52"/>
      <c r="O38" s="52"/>
      <c r="P38" s="63"/>
      <c r="Q38" s="53"/>
      <c r="R38" s="53"/>
      <c r="S38" s="54"/>
      <c r="T38" s="55"/>
      <c r="U38" s="56"/>
      <c r="V38" s="176"/>
      <c r="W38" s="181"/>
      <c r="X38" s="58"/>
      <c r="Y38" s="180"/>
      <c r="Z38" s="178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</row>
    <row r="39" spans="1:38" s="60" customFormat="1" ht="15" x14ac:dyDescent="0.2">
      <c r="A39" s="44"/>
      <c r="B39" s="45"/>
      <c r="C39" s="44"/>
      <c r="D39" s="46"/>
      <c r="E39" s="47"/>
      <c r="F39" s="150"/>
      <c r="G39" s="172"/>
      <c r="H39" s="149"/>
      <c r="I39" s="48"/>
      <c r="J39" s="49"/>
      <c r="K39" s="65"/>
      <c r="L39" s="58"/>
      <c r="M39" s="51"/>
      <c r="N39" s="52"/>
      <c r="O39" s="52"/>
      <c r="P39" s="63"/>
      <c r="Q39" s="53"/>
      <c r="R39" s="53"/>
      <c r="S39" s="54"/>
      <c r="T39" s="55"/>
      <c r="U39" s="56"/>
      <c r="V39" s="176"/>
      <c r="W39" s="181"/>
      <c r="X39" s="58"/>
      <c r="Y39" s="180"/>
      <c r="Z39" s="178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</row>
    <row r="40" spans="1:38" s="60" customFormat="1" ht="15" x14ac:dyDescent="0.2">
      <c r="A40" s="44"/>
      <c r="B40" s="45"/>
      <c r="C40" s="44"/>
      <c r="D40" s="46"/>
      <c r="E40" s="47"/>
      <c r="F40" s="150"/>
      <c r="G40" s="172"/>
      <c r="H40" s="48"/>
      <c r="I40" s="48"/>
      <c r="J40" s="49"/>
      <c r="K40" s="65"/>
      <c r="L40" s="58"/>
      <c r="M40" s="51"/>
      <c r="N40" s="52"/>
      <c r="O40" s="52"/>
      <c r="P40" s="63"/>
      <c r="Q40" s="53"/>
      <c r="R40" s="53"/>
      <c r="S40" s="54"/>
      <c r="T40" s="55"/>
      <c r="U40" s="56"/>
      <c r="V40" s="176"/>
      <c r="W40" s="181"/>
      <c r="X40" s="58"/>
      <c r="Y40" s="180"/>
      <c r="Z40" s="178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</row>
    <row r="41" spans="1:38" s="60" customFormat="1" ht="15" x14ac:dyDescent="0.2">
      <c r="A41" s="44"/>
      <c r="B41" s="45"/>
      <c r="C41" s="44"/>
      <c r="D41" s="46"/>
      <c r="E41" s="47"/>
      <c r="F41" s="150"/>
      <c r="G41" s="172"/>
      <c r="H41" s="149"/>
      <c r="I41" s="48"/>
      <c r="J41" s="49"/>
      <c r="K41" s="65"/>
      <c r="L41" s="58"/>
      <c r="M41" s="51"/>
      <c r="N41" s="52"/>
      <c r="O41" s="52"/>
      <c r="P41" s="63"/>
      <c r="Q41" s="53"/>
      <c r="R41" s="53"/>
      <c r="S41" s="54"/>
      <c r="T41" s="55"/>
      <c r="U41" s="56"/>
      <c r="V41" s="176"/>
      <c r="W41" s="181"/>
      <c r="X41" s="58"/>
      <c r="Y41" s="180"/>
      <c r="Z41" s="178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</row>
    <row r="42" spans="1:38" s="60" customFormat="1" ht="15" x14ac:dyDescent="0.2">
      <c r="A42" s="44"/>
      <c r="B42" s="45"/>
      <c r="C42" s="44"/>
      <c r="D42" s="46"/>
      <c r="E42" s="47"/>
      <c r="F42" s="150"/>
      <c r="G42" s="172"/>
      <c r="H42" s="48"/>
      <c r="I42" s="48"/>
      <c r="J42" s="49"/>
      <c r="K42" s="65"/>
      <c r="L42" s="58"/>
      <c r="M42" s="51"/>
      <c r="N42" s="52"/>
      <c r="O42" s="52"/>
      <c r="P42" s="63"/>
      <c r="Q42" s="53"/>
      <c r="R42" s="53"/>
      <c r="S42" s="54"/>
      <c r="T42" s="55"/>
      <c r="U42" s="56"/>
      <c r="V42" s="176"/>
      <c r="W42" s="181"/>
      <c r="X42" s="58"/>
      <c r="Y42" s="180"/>
      <c r="Z42" s="178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</row>
    <row r="43" spans="1:38" s="60" customFormat="1" ht="15" x14ac:dyDescent="0.2">
      <c r="A43" s="44"/>
      <c r="B43" s="45"/>
      <c r="C43" s="44"/>
      <c r="D43" s="46"/>
      <c r="E43" s="47"/>
      <c r="F43" s="150"/>
      <c r="G43" s="172"/>
      <c r="H43" s="149"/>
      <c r="I43" s="48"/>
      <c r="J43" s="49"/>
      <c r="K43" s="65"/>
      <c r="L43" s="58"/>
      <c r="M43" s="51"/>
      <c r="N43" s="52"/>
      <c r="O43" s="52"/>
      <c r="P43" s="63"/>
      <c r="Q43" s="53"/>
      <c r="R43" s="53"/>
      <c r="S43" s="54"/>
      <c r="T43" s="55"/>
      <c r="U43" s="56"/>
      <c r="V43" s="176"/>
      <c r="W43" s="181"/>
      <c r="X43" s="58"/>
      <c r="Y43" s="180"/>
      <c r="Z43" s="178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</row>
    <row r="44" spans="1:38" s="60" customFormat="1" ht="15" x14ac:dyDescent="0.2">
      <c r="A44" s="44"/>
      <c r="B44" s="45"/>
      <c r="C44" s="44"/>
      <c r="D44" s="46"/>
      <c r="E44" s="47"/>
      <c r="F44" s="150"/>
      <c r="G44" s="172"/>
      <c r="H44" s="48"/>
      <c r="I44" s="48"/>
      <c r="J44" s="49"/>
      <c r="K44" s="65"/>
      <c r="L44" s="58"/>
      <c r="M44" s="51"/>
      <c r="N44" s="52"/>
      <c r="O44" s="52"/>
      <c r="P44" s="63"/>
      <c r="Q44" s="53"/>
      <c r="R44" s="53"/>
      <c r="S44" s="54"/>
      <c r="T44" s="55"/>
      <c r="U44" s="56"/>
      <c r="V44" s="176"/>
      <c r="W44" s="181"/>
      <c r="X44" s="58"/>
      <c r="Y44" s="180"/>
      <c r="Z44" s="178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</row>
    <row r="45" spans="1:38" s="60" customFormat="1" ht="15" x14ac:dyDescent="0.2">
      <c r="A45" s="44"/>
      <c r="B45" s="45"/>
      <c r="C45" s="44"/>
      <c r="D45" s="46"/>
      <c r="E45" s="47"/>
      <c r="F45" s="150"/>
      <c r="G45" s="172"/>
      <c r="H45" s="149"/>
      <c r="I45" s="48"/>
      <c r="J45" s="49"/>
      <c r="K45" s="65"/>
      <c r="L45" s="58"/>
      <c r="M45" s="51"/>
      <c r="N45" s="52"/>
      <c r="O45" s="52"/>
      <c r="P45" s="63"/>
      <c r="Q45" s="53"/>
      <c r="R45" s="53"/>
      <c r="S45" s="54"/>
      <c r="T45" s="55"/>
      <c r="U45" s="56"/>
      <c r="V45" s="176"/>
      <c r="W45" s="181"/>
      <c r="X45" s="58"/>
      <c r="Y45" s="180"/>
      <c r="Z45" s="178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</row>
    <row r="46" spans="1:38" s="60" customFormat="1" ht="15" x14ac:dyDescent="0.2">
      <c r="A46" s="44"/>
      <c r="B46" s="45"/>
      <c r="C46" s="44"/>
      <c r="D46" s="46"/>
      <c r="E46" s="47"/>
      <c r="F46" s="150"/>
      <c r="G46" s="172"/>
      <c r="H46" s="48"/>
      <c r="I46" s="48"/>
      <c r="J46" s="49"/>
      <c r="K46" s="65"/>
      <c r="L46" s="58"/>
      <c r="M46" s="51"/>
      <c r="N46" s="52"/>
      <c r="O46" s="52"/>
      <c r="P46" s="63"/>
      <c r="Q46" s="53"/>
      <c r="R46" s="53"/>
      <c r="S46" s="54"/>
      <c r="T46" s="55"/>
      <c r="U46" s="56"/>
      <c r="V46" s="176"/>
      <c r="W46" s="181"/>
      <c r="X46" s="58"/>
      <c r="Y46" s="180"/>
      <c r="Z46" s="178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</row>
    <row r="47" spans="1:38" s="60" customFormat="1" ht="15" x14ac:dyDescent="0.2">
      <c r="A47" s="44"/>
      <c r="B47" s="45"/>
      <c r="C47" s="44"/>
      <c r="D47" s="46"/>
      <c r="E47" s="47"/>
      <c r="F47" s="150"/>
      <c r="G47" s="172"/>
      <c r="H47" s="149"/>
      <c r="I47" s="48"/>
      <c r="J47" s="49"/>
      <c r="K47" s="65"/>
      <c r="L47" s="58"/>
      <c r="M47" s="51"/>
      <c r="N47" s="52"/>
      <c r="O47" s="52"/>
      <c r="P47" s="63"/>
      <c r="Q47" s="53"/>
      <c r="R47" s="53"/>
      <c r="S47" s="54"/>
      <c r="T47" s="55"/>
      <c r="U47" s="56"/>
      <c r="V47" s="176"/>
      <c r="W47" s="181"/>
      <c r="X47" s="58"/>
      <c r="Y47" s="180"/>
      <c r="Z47" s="178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</row>
    <row r="48" spans="1:38" s="60" customFormat="1" ht="15" x14ac:dyDescent="0.2">
      <c r="A48" s="44"/>
      <c r="B48" s="45"/>
      <c r="C48" s="44"/>
      <c r="D48" s="46"/>
      <c r="E48" s="47"/>
      <c r="F48" s="150"/>
      <c r="G48" s="172"/>
      <c r="H48" s="48"/>
      <c r="I48" s="48"/>
      <c r="J48" s="49"/>
      <c r="K48" s="65"/>
      <c r="L48" s="58"/>
      <c r="M48" s="51"/>
      <c r="N48" s="52"/>
      <c r="O48" s="52"/>
      <c r="P48" s="63"/>
      <c r="Q48" s="53"/>
      <c r="R48" s="53"/>
      <c r="S48" s="54"/>
      <c r="T48" s="55"/>
      <c r="U48" s="56"/>
      <c r="V48" s="176"/>
      <c r="W48" s="181"/>
      <c r="X48" s="58"/>
      <c r="Y48" s="180"/>
      <c r="Z48" s="178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</row>
    <row r="49" spans="1:38" s="60" customFormat="1" ht="15" x14ac:dyDescent="0.2">
      <c r="A49" s="44"/>
      <c r="B49" s="45"/>
      <c r="C49" s="44"/>
      <c r="D49" s="46"/>
      <c r="E49" s="47"/>
      <c r="F49" s="150"/>
      <c r="G49" s="172"/>
      <c r="H49" s="149"/>
      <c r="I49" s="48"/>
      <c r="J49" s="49"/>
      <c r="K49" s="65"/>
      <c r="L49" s="58"/>
      <c r="M49" s="64"/>
      <c r="N49" s="52"/>
      <c r="O49" s="52"/>
      <c r="P49" s="63"/>
      <c r="Q49" s="53"/>
      <c r="R49" s="53"/>
      <c r="S49" s="54"/>
      <c r="T49" s="55"/>
      <c r="U49" s="56"/>
      <c r="V49" s="176"/>
      <c r="W49" s="181"/>
      <c r="X49" s="58"/>
      <c r="Y49" s="180"/>
      <c r="Z49" s="178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</row>
    <row r="50" spans="1:38" s="60" customFormat="1" ht="15" x14ac:dyDescent="0.2">
      <c r="A50" s="44"/>
      <c r="B50" s="45"/>
      <c r="C50" s="44"/>
      <c r="D50" s="46"/>
      <c r="E50" s="47"/>
      <c r="F50" s="150"/>
      <c r="G50" s="172"/>
      <c r="H50" s="48"/>
      <c r="I50" s="48"/>
      <c r="J50" s="49"/>
      <c r="K50" s="65"/>
      <c r="L50" s="58"/>
      <c r="M50" s="51"/>
      <c r="N50" s="52"/>
      <c r="O50" s="52"/>
      <c r="P50" s="63"/>
      <c r="Q50" s="53"/>
      <c r="R50" s="53"/>
      <c r="S50" s="54"/>
      <c r="T50" s="55"/>
      <c r="U50" s="56"/>
      <c r="V50" s="176"/>
      <c r="W50" s="181"/>
      <c r="X50" s="58"/>
      <c r="Y50" s="180"/>
      <c r="Z50" s="178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</row>
    <row r="51" spans="1:38" x14ac:dyDescent="0.2">
      <c r="A51" s="14"/>
      <c r="B51" s="19"/>
      <c r="C51" s="4"/>
      <c r="D51" s="2"/>
      <c r="E51" s="4"/>
      <c r="F51" s="4"/>
      <c r="G51" s="4"/>
      <c r="H51" s="4"/>
      <c r="I51" s="4"/>
      <c r="J51" s="4"/>
      <c r="K51" s="4"/>
      <c r="L51" s="4"/>
      <c r="M51" s="20"/>
      <c r="N51" s="17"/>
      <c r="O51" s="17"/>
      <c r="P51" s="14"/>
      <c r="Q51" s="14"/>
      <c r="R51" s="14"/>
      <c r="S51" s="8"/>
      <c r="T51" s="8"/>
      <c r="U51" s="8"/>
      <c r="V51" s="17"/>
      <c r="W51" s="4"/>
      <c r="X51" s="14"/>
      <c r="Y51" s="14"/>
      <c r="Z51" s="14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">
      <c r="A52" s="14"/>
      <c r="B52" s="19"/>
      <c r="C52" s="4"/>
      <c r="D52" s="19"/>
      <c r="E52" s="8"/>
      <c r="F52" s="19"/>
      <c r="G52" s="4"/>
      <c r="H52" s="4"/>
      <c r="I52" s="4"/>
      <c r="J52" s="4"/>
      <c r="K52" s="4"/>
      <c r="L52" s="4"/>
      <c r="M52" s="20"/>
      <c r="N52" s="17"/>
      <c r="O52" s="17"/>
      <c r="P52" s="14"/>
      <c r="Q52" s="14"/>
      <c r="R52" s="14"/>
      <c r="S52" s="8"/>
      <c r="T52" s="8"/>
      <c r="U52" s="8"/>
      <c r="V52" s="17"/>
      <c r="W52" s="4"/>
      <c r="X52" s="14"/>
      <c r="Y52" s="14"/>
      <c r="Z52" s="14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">
      <c r="A53" s="14"/>
      <c r="B53" s="19"/>
      <c r="C53" s="4"/>
      <c r="D53" s="19"/>
      <c r="E53" s="8"/>
      <c r="F53" s="4"/>
      <c r="G53" s="4"/>
      <c r="H53" s="4"/>
      <c r="I53" s="4"/>
      <c r="J53" s="4"/>
      <c r="K53" s="4"/>
      <c r="L53" s="4"/>
      <c r="M53" s="20"/>
      <c r="N53" s="17"/>
      <c r="O53" s="17"/>
      <c r="P53" s="14"/>
      <c r="Q53" s="14"/>
      <c r="R53" s="14"/>
      <c r="S53" s="8"/>
      <c r="T53" s="8"/>
      <c r="U53" s="8"/>
      <c r="V53" s="17"/>
      <c r="W53" s="4"/>
      <c r="X53" s="14"/>
      <c r="Y53" s="14"/>
      <c r="Z53" s="14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5" x14ac:dyDescent="0.25">
      <c r="A54" s="14"/>
      <c r="B54" s="29" t="s">
        <v>66</v>
      </c>
      <c r="C54" s="30"/>
      <c r="D54" s="29"/>
      <c r="E54" s="2"/>
      <c r="F54" s="2"/>
      <c r="G54" s="4"/>
      <c r="H54" s="4"/>
      <c r="I54" s="4"/>
      <c r="J54" s="4"/>
      <c r="K54" s="4"/>
      <c r="L54" s="4"/>
      <c r="M54" s="20"/>
      <c r="N54" s="17"/>
      <c r="O54" s="17"/>
      <c r="P54" s="14"/>
      <c r="Q54" s="14"/>
      <c r="R54" s="14"/>
      <c r="S54" s="8"/>
      <c r="T54" s="8"/>
      <c r="U54" s="8"/>
      <c r="V54" s="17"/>
      <c r="W54" s="4"/>
      <c r="X54" s="14"/>
      <c r="Y54" s="14"/>
      <c r="Z54" s="14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2">
      <c r="A55" s="14"/>
      <c r="B55" s="31" t="s">
        <v>44</v>
      </c>
      <c r="C55" s="214" t="s">
        <v>73</v>
      </c>
      <c r="D55" s="215"/>
      <c r="E55" s="215"/>
      <c r="F55" s="215"/>
      <c r="G55" s="215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17"/>
      <c r="W55" s="4"/>
      <c r="X55" s="14"/>
      <c r="Y55" s="14"/>
      <c r="Z55" s="14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">
      <c r="A56" s="14"/>
      <c r="B56" s="32" t="s">
        <v>42</v>
      </c>
      <c r="C56" s="214" t="s">
        <v>74</v>
      </c>
      <c r="D56" s="215"/>
      <c r="E56" s="215"/>
      <c r="F56" s="215"/>
      <c r="G56" s="215"/>
      <c r="H56" s="4"/>
      <c r="I56" s="4"/>
      <c r="J56" s="4"/>
      <c r="K56" s="4"/>
      <c r="L56" s="4"/>
      <c r="M56" s="20"/>
      <c r="N56" s="17"/>
      <c r="O56" s="17"/>
      <c r="P56" s="14"/>
      <c r="Q56" s="14"/>
      <c r="R56" s="14"/>
      <c r="S56" s="8"/>
      <c r="T56" s="8"/>
      <c r="U56" s="8"/>
      <c r="V56" s="17"/>
      <c r="W56" s="4"/>
      <c r="X56" s="14"/>
      <c r="Y56" s="14"/>
      <c r="Z56" s="14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">
      <c r="A57" s="14"/>
      <c r="B57" s="33" t="s">
        <v>43</v>
      </c>
      <c r="C57" s="214" t="s">
        <v>75</v>
      </c>
      <c r="D57" s="215"/>
      <c r="E57" s="215"/>
      <c r="F57" s="215"/>
      <c r="G57" s="215"/>
      <c r="H57" s="4"/>
      <c r="I57" s="4"/>
      <c r="J57" s="4"/>
      <c r="K57" s="4"/>
      <c r="L57" s="4"/>
      <c r="M57" s="20"/>
      <c r="N57" s="17"/>
      <c r="O57" s="17"/>
      <c r="P57" s="14"/>
      <c r="Q57" s="14"/>
      <c r="R57" s="14"/>
      <c r="S57" s="8"/>
      <c r="T57" s="8"/>
      <c r="U57" s="8"/>
      <c r="V57" s="17"/>
      <c r="W57" s="4"/>
      <c r="X57" s="14"/>
      <c r="Y57" s="14"/>
      <c r="Z57" s="14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2">
      <c r="A58" s="14"/>
      <c r="B58" s="34" t="s">
        <v>45</v>
      </c>
      <c r="C58" s="214" t="s">
        <v>76</v>
      </c>
      <c r="D58" s="215"/>
      <c r="E58" s="215"/>
      <c r="F58" s="215"/>
      <c r="G58" s="215"/>
      <c r="H58" s="4"/>
      <c r="I58" s="4"/>
      <c r="J58" s="4"/>
      <c r="K58" s="4"/>
      <c r="L58" s="4"/>
      <c r="M58" s="20"/>
      <c r="N58" s="17"/>
      <c r="O58" s="17"/>
      <c r="P58" s="14"/>
      <c r="Q58" s="14"/>
      <c r="R58" s="14"/>
      <c r="S58" s="8"/>
      <c r="T58" s="8"/>
      <c r="U58" s="8"/>
      <c r="V58" s="17"/>
      <c r="W58" s="4"/>
      <c r="X58" s="14"/>
      <c r="Y58" s="14"/>
      <c r="Z58" s="14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2">
      <c r="A59" s="14"/>
      <c r="B59" s="35" t="s">
        <v>46</v>
      </c>
      <c r="C59" s="214" t="s">
        <v>77</v>
      </c>
      <c r="D59" s="215"/>
      <c r="E59" s="215"/>
      <c r="F59" s="215"/>
      <c r="G59" s="215"/>
      <c r="H59" s="4"/>
      <c r="I59" s="4"/>
      <c r="J59" s="4"/>
      <c r="K59" s="4"/>
      <c r="L59" s="4"/>
      <c r="M59" s="20"/>
      <c r="N59" s="17"/>
      <c r="O59" s="17"/>
      <c r="P59" s="14"/>
      <c r="Q59" s="14"/>
      <c r="R59" s="14"/>
      <c r="S59" s="8"/>
      <c r="T59" s="8"/>
      <c r="U59" s="8"/>
      <c r="V59" s="17"/>
      <c r="W59" s="4"/>
      <c r="X59" s="14"/>
      <c r="Y59" s="14"/>
      <c r="Z59" s="14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">
      <c r="A60" s="14"/>
      <c r="B60" s="38" t="s">
        <v>78</v>
      </c>
      <c r="C60" s="214" t="s">
        <v>79</v>
      </c>
      <c r="D60" s="215"/>
      <c r="E60" s="215"/>
      <c r="F60" s="215"/>
      <c r="G60" s="215"/>
      <c r="H60" s="4"/>
      <c r="I60" s="4"/>
      <c r="J60" s="4"/>
      <c r="K60" s="4"/>
      <c r="L60" s="4"/>
      <c r="M60" s="20"/>
      <c r="N60" s="17"/>
      <c r="O60" s="17"/>
      <c r="P60" s="14"/>
      <c r="Q60" s="14"/>
      <c r="R60" s="14"/>
      <c r="S60" s="8"/>
      <c r="T60" s="8"/>
      <c r="U60" s="8"/>
      <c r="V60" s="17"/>
      <c r="W60" s="4"/>
      <c r="X60" s="14"/>
      <c r="Y60" s="14"/>
      <c r="Z60" s="14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">
      <c r="A61" s="14"/>
      <c r="B61" s="36" t="s">
        <v>80</v>
      </c>
      <c r="C61" s="214" t="s">
        <v>81</v>
      </c>
      <c r="D61" s="215"/>
      <c r="E61" s="215"/>
      <c r="F61" s="215"/>
      <c r="G61" s="215"/>
      <c r="H61" s="4"/>
      <c r="I61" s="4"/>
      <c r="J61" s="4"/>
      <c r="K61" s="4"/>
      <c r="L61" s="4"/>
      <c r="M61" s="20"/>
      <c r="N61" s="17"/>
      <c r="O61" s="17"/>
      <c r="P61" s="14"/>
      <c r="Q61" s="14"/>
      <c r="R61" s="14"/>
      <c r="S61" s="8"/>
      <c r="T61" s="8"/>
      <c r="U61" s="8"/>
      <c r="V61" s="17"/>
      <c r="W61" s="4"/>
      <c r="X61" s="14"/>
      <c r="Y61" s="14"/>
      <c r="Z61" s="14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">
      <c r="A62" s="14"/>
      <c r="B62" s="19"/>
      <c r="C62" s="2"/>
      <c r="D62" s="171"/>
      <c r="E62" s="171"/>
      <c r="F62" s="2"/>
      <c r="G62" s="2"/>
      <c r="H62" s="4"/>
      <c r="I62" s="4"/>
      <c r="J62" s="4"/>
      <c r="K62" s="4"/>
      <c r="L62" s="4"/>
      <c r="M62" s="20"/>
      <c r="N62" s="17"/>
      <c r="O62" s="17"/>
      <c r="P62" s="14"/>
      <c r="Q62" s="14"/>
      <c r="R62" s="14"/>
      <c r="S62" s="8"/>
      <c r="T62" s="8"/>
      <c r="U62" s="8"/>
      <c r="V62" s="17"/>
      <c r="W62" s="4"/>
      <c r="X62" s="14"/>
      <c r="Y62" s="14"/>
      <c r="Z62" s="14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8.5" x14ac:dyDescent="0.2">
      <c r="A63" s="14"/>
      <c r="B63" s="173" t="s">
        <v>29</v>
      </c>
      <c r="C63" s="212" t="s">
        <v>82</v>
      </c>
      <c r="D63" s="213"/>
      <c r="E63" s="213"/>
      <c r="F63" s="213"/>
      <c r="G63" s="213"/>
      <c r="H63" s="4"/>
      <c r="I63" s="4"/>
      <c r="J63" s="4"/>
      <c r="K63" s="4"/>
      <c r="L63" s="4"/>
      <c r="M63" s="20"/>
      <c r="N63" s="17"/>
      <c r="O63" s="17"/>
      <c r="P63" s="14"/>
      <c r="Q63" s="14"/>
      <c r="R63" s="14"/>
      <c r="S63" s="8"/>
      <c r="T63" s="8"/>
      <c r="U63" s="8"/>
      <c r="V63" s="17"/>
      <c r="W63" s="4"/>
      <c r="X63" s="14"/>
      <c r="Y63" s="14"/>
      <c r="Z63" s="14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8.5" x14ac:dyDescent="0.2">
      <c r="A64" s="14"/>
      <c r="B64" s="174" t="s">
        <v>50</v>
      </c>
      <c r="C64" s="212" t="s">
        <v>83</v>
      </c>
      <c r="D64" s="213"/>
      <c r="E64" s="213"/>
      <c r="F64" s="213"/>
      <c r="G64" s="213"/>
      <c r="H64" s="4"/>
      <c r="I64" s="4"/>
      <c r="J64" s="4"/>
      <c r="K64" s="4"/>
      <c r="L64" s="4"/>
      <c r="M64" s="20"/>
      <c r="N64" s="17"/>
      <c r="O64" s="17"/>
      <c r="P64" s="14"/>
      <c r="Q64" s="14"/>
      <c r="R64" s="14"/>
      <c r="S64" s="8"/>
      <c r="T64" s="8"/>
      <c r="U64" s="8"/>
      <c r="V64" s="17"/>
      <c r="W64" s="4"/>
      <c r="X64" s="14"/>
      <c r="Y64" s="14"/>
      <c r="Z64" s="14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8.5" x14ac:dyDescent="0.2">
      <c r="A65" s="14"/>
      <c r="B65" s="175" t="s">
        <v>59</v>
      </c>
      <c r="C65" s="212" t="s">
        <v>84</v>
      </c>
      <c r="D65" s="213"/>
      <c r="E65" s="213"/>
      <c r="F65" s="213"/>
      <c r="G65" s="213"/>
      <c r="H65" s="4"/>
      <c r="I65" s="4"/>
      <c r="J65" s="4"/>
      <c r="K65" s="4"/>
      <c r="L65" s="4"/>
      <c r="M65" s="20"/>
      <c r="N65" s="17"/>
      <c r="O65" s="17"/>
      <c r="P65" s="14"/>
      <c r="Q65" s="14"/>
      <c r="R65" s="14"/>
      <c r="S65" s="8"/>
      <c r="T65" s="8"/>
      <c r="U65" s="8"/>
      <c r="V65" s="17"/>
      <c r="W65" s="4"/>
      <c r="X65" s="14"/>
      <c r="Y65" s="14"/>
      <c r="Z65" s="14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x14ac:dyDescent="0.2">
      <c r="A66" s="14"/>
      <c r="B66" s="19"/>
      <c r="C66" s="2"/>
      <c r="D66" s="171"/>
      <c r="E66" s="171"/>
      <c r="F66" s="2"/>
      <c r="G66" s="2"/>
      <c r="H66" s="4"/>
      <c r="I66" s="4"/>
      <c r="J66" s="4"/>
      <c r="K66" s="4"/>
      <c r="L66" s="4"/>
      <c r="M66" s="20"/>
      <c r="N66" s="17"/>
      <c r="O66" s="17"/>
      <c r="P66" s="14"/>
      <c r="Q66" s="14"/>
      <c r="R66" s="14"/>
      <c r="S66" s="8"/>
      <c r="T66" s="8"/>
      <c r="U66" s="8"/>
      <c r="V66" s="17"/>
      <c r="W66" s="4"/>
      <c r="X66" s="14"/>
      <c r="Y66" s="14"/>
      <c r="Z66" s="14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x14ac:dyDescent="0.2">
      <c r="A67" s="14"/>
      <c r="B67" s="31" t="s">
        <v>85</v>
      </c>
      <c r="C67" s="212" t="s">
        <v>86</v>
      </c>
      <c r="D67" s="213"/>
      <c r="E67" s="213"/>
      <c r="F67" s="213"/>
      <c r="G67" s="213"/>
      <c r="H67" s="4"/>
      <c r="I67" s="4"/>
      <c r="J67" s="4"/>
      <c r="K67" s="4"/>
      <c r="L67" s="4"/>
      <c r="M67" s="20"/>
      <c r="N67" s="17"/>
      <c r="O67" s="17"/>
      <c r="P67" s="14"/>
      <c r="Q67" s="14"/>
      <c r="R67" s="14"/>
      <c r="S67" s="8"/>
      <c r="T67" s="8"/>
      <c r="U67" s="8"/>
      <c r="V67" s="17"/>
      <c r="W67" s="4"/>
      <c r="X67" s="14"/>
      <c r="Y67" s="14"/>
      <c r="Z67" s="14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x14ac:dyDescent="0.2">
      <c r="A68" s="14"/>
      <c r="B68" s="33" t="s">
        <v>88</v>
      </c>
      <c r="C68" s="212" t="s">
        <v>89</v>
      </c>
      <c r="D68" s="213"/>
      <c r="E68" s="213"/>
      <c r="F68" s="213"/>
      <c r="G68" s="213"/>
      <c r="H68" s="4"/>
      <c r="I68" s="4"/>
      <c r="J68" s="4"/>
      <c r="K68" s="4"/>
      <c r="L68" s="4"/>
      <c r="M68" s="20"/>
      <c r="N68" s="17"/>
      <c r="O68" s="17"/>
      <c r="P68" s="14"/>
      <c r="Q68" s="14"/>
      <c r="R68" s="14"/>
      <c r="S68" s="8"/>
      <c r="T68" s="8"/>
      <c r="U68" s="8"/>
      <c r="V68" s="17"/>
      <c r="W68" s="4"/>
      <c r="X68" s="14"/>
      <c r="Y68" s="14"/>
      <c r="Z68" s="14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x14ac:dyDescent="0.2">
      <c r="A69" s="14"/>
      <c r="B69" s="35" t="s">
        <v>90</v>
      </c>
      <c r="C69" s="212" t="s">
        <v>91</v>
      </c>
      <c r="D69" s="213"/>
      <c r="E69" s="213"/>
      <c r="F69" s="213"/>
      <c r="G69" s="213"/>
      <c r="H69" s="4"/>
      <c r="I69" s="4"/>
      <c r="J69" s="4"/>
      <c r="K69" s="4"/>
      <c r="L69" s="4"/>
      <c r="M69" s="20"/>
      <c r="N69" s="17"/>
      <c r="O69" s="17"/>
      <c r="P69" s="14"/>
      <c r="Q69" s="14"/>
      <c r="R69" s="14"/>
      <c r="S69" s="8"/>
      <c r="T69" s="8"/>
      <c r="U69" s="8"/>
      <c r="V69" s="17"/>
      <c r="W69" s="4"/>
      <c r="X69" s="14"/>
      <c r="Y69" s="14"/>
      <c r="Z69" s="14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x14ac:dyDescent="0.2">
      <c r="A70" s="14"/>
      <c r="B70" s="19"/>
      <c r="C70" s="4"/>
      <c r="D70" s="19"/>
      <c r="E70" s="8"/>
      <c r="F70" s="4"/>
      <c r="G70" s="4"/>
      <c r="H70" s="4"/>
      <c r="I70" s="4"/>
      <c r="J70" s="4"/>
      <c r="K70" s="4"/>
      <c r="L70" s="4"/>
      <c r="M70" s="20"/>
      <c r="N70" s="17"/>
      <c r="O70" s="17"/>
      <c r="P70" s="14"/>
      <c r="Q70" s="14"/>
      <c r="R70" s="14"/>
      <c r="S70" s="8"/>
      <c r="T70" s="8"/>
      <c r="U70" s="8"/>
      <c r="V70" s="17"/>
      <c r="W70" s="4"/>
      <c r="X70" s="14"/>
      <c r="Y70" s="14"/>
      <c r="Z70" s="14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A71" s="14"/>
      <c r="B71" s="19"/>
      <c r="C71" s="4"/>
      <c r="D71" s="19"/>
      <c r="E71" s="8"/>
      <c r="F71" s="4"/>
      <c r="G71" s="4"/>
      <c r="H71" s="4"/>
      <c r="I71" s="4"/>
      <c r="J71" s="4"/>
      <c r="K71" s="4"/>
      <c r="L71" s="4"/>
      <c r="M71" s="20"/>
      <c r="N71" s="17"/>
      <c r="O71" s="17"/>
      <c r="P71" s="14"/>
      <c r="Q71" s="14"/>
      <c r="R71" s="14"/>
      <c r="S71" s="8"/>
      <c r="T71" s="8"/>
      <c r="U71" s="8"/>
      <c r="V71" s="17"/>
      <c r="W71" s="4"/>
      <c r="X71" s="14"/>
      <c r="Y71" s="14"/>
      <c r="Z71" s="14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 spans="1:38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 spans="1:38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 spans="1:38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 spans="1:38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 spans="1:38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</sheetData>
  <sheetProtection autoFilter="0"/>
  <autoFilter ref="A1:Z50" xr:uid="{00000000-0001-0000-0200-000000000000}"/>
  <customSheetViews>
    <customSheetView guid="{0664A433-8342-47CF-996F-52A146D92FFA}" filter="1" showAutoFilter="1">
      <pageMargins left="0.7" right="0.7" top="0.75" bottom="0.75" header="0.3" footer="0.3"/>
      <autoFilter ref="A2:O220" xr:uid="{9845A021-918B-42B6-A8EE-77CD4C094585}"/>
      <extLst>
        <ext uri="GoogleSheetsCustomDataVersion1">
          <go:sheetsCustomData xmlns:go="http://customooxmlschemas.google.com/" filterViewId="1000674942"/>
        </ext>
      </extLst>
    </customSheetView>
    <customSheetView guid="{CE3CA79F-69BA-4F2C-8654-49489E9F990B}" filter="1" showAutoFilter="1">
      <pageMargins left="0.7" right="0.7" top="0.75" bottom="0.75" header="0.3" footer="0.3"/>
      <autoFilter ref="A49:U220" xr:uid="{D0214506-9557-499F-A512-38D732A24C79}"/>
      <extLst>
        <ext uri="GoogleSheetsCustomDataVersion1">
          <go:sheetsCustomData xmlns:go="http://customooxmlschemas.google.com/" filterViewId="1002268913"/>
        </ext>
      </extLst>
    </customSheetView>
    <customSheetView guid="{7B5A7FEB-38C1-498D-A92D-CA397ABBAD58}" filter="1" showAutoFilter="1">
      <pageMargins left="0.7" right="0.7" top="0.75" bottom="0.75" header="0.3" footer="0.3"/>
      <autoFilter ref="A49:O220" xr:uid="{3AE5DD60-157E-47E3-93B9-CD95AF91C7C5}"/>
      <extLst>
        <ext uri="GoogleSheetsCustomDataVersion1">
          <go:sheetsCustomData xmlns:go="http://customooxmlschemas.google.com/" filterViewId="101112002"/>
        </ext>
      </extLst>
    </customSheetView>
    <customSheetView guid="{3118B097-E2D5-4853-9ECC-4F918F82032A}" filter="1" showAutoFilter="1">
      <pageMargins left="0.7" right="0.7" top="0.75" bottom="0.75" header="0.3" footer="0.3"/>
      <autoFilter ref="K1:L220" xr:uid="{D25D77DD-1E10-4BCD-A4DF-0A9AA8C0D61F}"/>
      <extLst>
        <ext uri="GoogleSheetsCustomDataVersion1">
          <go:sheetsCustomData xmlns:go="http://customooxmlschemas.google.com/" filterViewId="102679081"/>
        </ext>
      </extLst>
    </customSheetView>
    <customSheetView guid="{78CA7D74-30CA-41F1-880F-D684FB45076B}" filter="1" showAutoFilter="1">
      <pageMargins left="0.7" right="0.7" top="0.75" bottom="0.75" header="0.3" footer="0.3"/>
      <autoFilter ref="B57:B220" xr:uid="{D7A36DC1-668F-4A8B-A7C6-3E124B2FA8A4}"/>
      <extLst>
        <ext uri="GoogleSheetsCustomDataVersion1">
          <go:sheetsCustomData xmlns:go="http://customooxmlschemas.google.com/" filterViewId="103998665"/>
        </ext>
      </extLst>
    </customSheetView>
    <customSheetView guid="{995C7FF4-C7C2-4A76-ADCF-BBE4ED920ED4}" filter="1" showAutoFilter="1">
      <pageMargins left="0.7" right="0.7" top="0.75" bottom="0.75" header="0.3" footer="0.3"/>
      <autoFilter ref="A1:I220" xr:uid="{9B2C2938-517C-4BB9-B7D2-1D8A7930FC64}"/>
      <extLst>
        <ext uri="GoogleSheetsCustomDataVersion1">
          <go:sheetsCustomData xmlns:go="http://customooxmlschemas.google.com/" filterViewId="1066334342"/>
        </ext>
      </extLst>
    </customSheetView>
    <customSheetView guid="{F104EDCA-16C9-4782-BD8E-4BA1260CBFFE}" filter="1" showAutoFilter="1">
      <pageMargins left="0.7" right="0.7" top="0.75" bottom="0.75" header="0.3" footer="0.3"/>
      <autoFilter ref="A2:O220" xr:uid="{B0037B6D-0A11-4224-94EB-A789313BA34F}"/>
      <extLst>
        <ext uri="GoogleSheetsCustomDataVersion1">
          <go:sheetsCustomData xmlns:go="http://customooxmlschemas.google.com/" filterViewId="1082326745"/>
        </ext>
      </extLst>
    </customSheetView>
    <customSheetView guid="{26BE083E-F813-43CD-8080-176AC71EC6B1}" filter="1" showAutoFilter="1">
      <pageMargins left="0.7" right="0.7" top="0.75" bottom="0.75" header="0.3" footer="0.3"/>
      <autoFilter ref="A1:I170" xr:uid="{C5F33D06-3608-4CD6-AE63-03789FB86224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089453212"/>
        </ext>
      </extLst>
    </customSheetView>
    <customSheetView guid="{5371A75B-87E1-4B09-A057-556485EA8892}" filter="1" showAutoFilter="1">
      <pageMargins left="0.7" right="0.7" top="0.75" bottom="0.75" header="0.3" footer="0.3"/>
      <autoFilter ref="A49:I220" xr:uid="{F10477A4-C626-4DA4-A631-AD7B31F6CB45}"/>
      <extLst>
        <ext uri="GoogleSheetsCustomDataVersion1">
          <go:sheetsCustomData xmlns:go="http://customooxmlschemas.google.com/" filterViewId="1097458951"/>
        </ext>
      </extLst>
    </customSheetView>
    <customSheetView guid="{114F6802-2197-4322-B73A-0FC23C08550B}" filter="1" showAutoFilter="1">
      <pageMargins left="0.7" right="0.7" top="0.75" bottom="0.75" header="0.3" footer="0.3"/>
      <autoFilter ref="A49:M220" xr:uid="{9AF0C0A1-704B-4638-B395-1E3A83E0DC51}"/>
      <extLst>
        <ext uri="GoogleSheetsCustomDataVersion1">
          <go:sheetsCustomData xmlns:go="http://customooxmlschemas.google.com/" filterViewId="1129482273"/>
        </ext>
      </extLst>
    </customSheetView>
    <customSheetView guid="{1012F98C-3763-4EDE-B5D5-20FE546E5D46}" filter="1" showAutoFilter="1">
      <pageMargins left="0.7" right="0.7" top="0.75" bottom="0.75" header="0.3" footer="0.3"/>
      <autoFilter ref="A49:I220" xr:uid="{07E2DBAF-923D-4C27-B906-769BB06CE535}"/>
      <extLst>
        <ext uri="GoogleSheetsCustomDataVersion1">
          <go:sheetsCustomData xmlns:go="http://customooxmlschemas.google.com/" filterViewId="1132069515"/>
        </ext>
      </extLst>
    </customSheetView>
    <customSheetView guid="{031DCFBF-D9DE-47C6-9728-A245B3E32D0E}" filter="1" showAutoFilter="1">
      <pageMargins left="0.7" right="0.7" top="0.75" bottom="0.75" header="0.3" footer="0.3"/>
      <autoFilter ref="A49:AA220" xr:uid="{C592EDFA-7B83-4C56-9B49-7D9A34FC0C83}"/>
      <extLst>
        <ext uri="GoogleSheetsCustomDataVersion1">
          <go:sheetsCustomData xmlns:go="http://customooxmlschemas.google.com/" filterViewId="1149286130"/>
        </ext>
      </extLst>
    </customSheetView>
    <customSheetView guid="{15081274-07BD-4195-B8A0-FEF6F2D55112}" filter="1" showAutoFilter="1">
      <pageMargins left="0.7" right="0.7" top="0.75" bottom="0.75" header="0.3" footer="0.3"/>
      <autoFilter ref="Q49:V50" xr:uid="{1001BE35-1060-4AD7-851F-9D9F3B9E5D22}"/>
      <extLst>
        <ext uri="GoogleSheetsCustomDataVersion1">
          <go:sheetsCustomData xmlns:go="http://customooxmlschemas.google.com/" filterViewId="1150789596"/>
        </ext>
      </extLst>
    </customSheetView>
    <customSheetView guid="{7072D0E9-A8EB-4832-9DAA-09BCD4B1F142}" filter="1" showAutoFilter="1">
      <pageMargins left="0.7" right="0.7" top="0.75" bottom="0.75" header="0.3" footer="0.3"/>
      <autoFilter ref="A49:U220" xr:uid="{ABC02EB0-CC41-48F7-8891-53ADF0CA075A}"/>
      <extLst>
        <ext uri="GoogleSheetsCustomDataVersion1">
          <go:sheetsCustomData xmlns:go="http://customooxmlschemas.google.com/" filterViewId="1196446551"/>
        </ext>
      </extLst>
    </customSheetView>
    <customSheetView guid="{A6288929-3BB3-40B5-902C-6E713599D7AE}" filter="1" showAutoFilter="1">
      <pageMargins left="0.7" right="0.7" top="0.75" bottom="0.75" header="0.3" footer="0.3"/>
      <autoFilter ref="A1:I220" xr:uid="{711E9EBD-7B1D-462B-9D86-851CEAC309D5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199576961"/>
        </ext>
      </extLst>
    </customSheetView>
    <customSheetView guid="{B29F5A3D-C1CC-4C01-9094-3ED83635FF7A}" filter="1" showAutoFilter="1">
      <pageMargins left="0.7" right="0.7" top="0.75" bottom="0.75" header="0.3" footer="0.3"/>
      <autoFilter ref="P49:P220" xr:uid="{92D6AF17-8D34-414E-BA05-3BD23CB39A11}"/>
      <extLst>
        <ext uri="GoogleSheetsCustomDataVersion1">
          <go:sheetsCustomData xmlns:go="http://customooxmlschemas.google.com/" filterViewId="1207297510"/>
        </ext>
      </extLst>
    </customSheetView>
    <customSheetView guid="{276671E9-83F3-4274-8123-98123DFEA35E}" filter="1" showAutoFilter="1">
      <pageMargins left="0.7" right="0.7" top="0.75" bottom="0.75" header="0.3" footer="0.3"/>
      <autoFilter ref="A1:V220" xr:uid="{25C2E347-9B22-4749-9D87-259F361C718D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221110510"/>
        </ext>
      </extLst>
    </customSheetView>
    <customSheetView guid="{8C3FD059-87C2-4AB8-A9B1-8503339D2B25}" filter="1" showAutoFilter="1">
      <pageMargins left="0.7" right="0.7" top="0.75" bottom="0.75" header="0.3" footer="0.3"/>
      <autoFilter ref="A1:V220" xr:uid="{B17F250D-CC09-4A50-AC8F-59F822458F38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250005300"/>
        </ext>
      </extLst>
    </customSheetView>
    <customSheetView guid="{14B5872E-AC42-46F2-A978-C2125F6F2A00}" filter="1" showAutoFilter="1">
      <pageMargins left="0.7" right="0.7" top="0.75" bottom="0.75" header="0.3" footer="0.3"/>
      <autoFilter ref="A49:I220" xr:uid="{048F3C15-47E8-4542-8052-FB0B8283B1C1}"/>
      <extLst>
        <ext uri="GoogleSheetsCustomDataVersion1">
          <go:sheetsCustomData xmlns:go="http://customooxmlschemas.google.com/" filterViewId="1284504539"/>
        </ext>
      </extLst>
    </customSheetView>
    <customSheetView guid="{7268DF11-EDD6-4B5B-BEC2-3DBDCD87AE74}" filter="1" showAutoFilter="1">
      <pageMargins left="0.7" right="0.7" top="0.75" bottom="0.75" header="0.3" footer="0.3"/>
      <autoFilter ref="X53" xr:uid="{E0A0C9DE-CFEE-4B73-A807-9F45A0433AEA}"/>
      <extLst>
        <ext uri="GoogleSheetsCustomDataVersion1">
          <go:sheetsCustomData xmlns:go="http://customooxmlschemas.google.com/" filterViewId="1285633499"/>
        </ext>
      </extLst>
    </customSheetView>
    <customSheetView guid="{181AD504-66D9-4767-A682-83F62E4814B8}" filter="1" showAutoFilter="1">
      <pageMargins left="0.7" right="0.7" top="0.75" bottom="0.75" header="0.3" footer="0.3"/>
      <autoFilter ref="A49:U220" xr:uid="{3E01FEC9-EB51-4FAA-8E07-BDDBE83CBEBC}"/>
      <extLst>
        <ext uri="GoogleSheetsCustomDataVersion1">
          <go:sheetsCustomData xmlns:go="http://customooxmlschemas.google.com/" filterViewId="1293281027"/>
        </ext>
      </extLst>
    </customSheetView>
    <customSheetView guid="{AF9F4FD4-CE6A-484A-BC37-B88B387A0E76}" filter="1" showAutoFilter="1">
      <pageMargins left="0.7" right="0.7" top="0.75" bottom="0.75" header="0.3" footer="0.3"/>
      <autoFilter ref="A49:I220" xr:uid="{9CEFB3C3-E50F-4DC3-9483-4A9BA81A410D}"/>
      <extLst>
        <ext uri="GoogleSheetsCustomDataVersion1">
          <go:sheetsCustomData xmlns:go="http://customooxmlschemas.google.com/" filterViewId="1346823472"/>
        </ext>
      </extLst>
    </customSheetView>
    <customSheetView guid="{664F371B-425E-46AA-A6B6-0A01DAFDE9D6}" filter="1" showAutoFilter="1">
      <pageMargins left="0.7" right="0.7" top="0.75" bottom="0.75" header="0.3" footer="0.3"/>
      <autoFilter ref="A1:V220" xr:uid="{583A15D7-3FF6-4ECC-B666-B72DCFF3FE1D}"/>
      <extLst>
        <ext uri="GoogleSheetsCustomDataVersion1">
          <go:sheetsCustomData xmlns:go="http://customooxmlschemas.google.com/" filterViewId="1351437167"/>
        </ext>
      </extLst>
    </customSheetView>
    <customSheetView guid="{16E4E86E-1438-468A-A344-51769E38771E}" filter="1" showAutoFilter="1">
      <pageMargins left="0.7" right="0.7" top="0.75" bottom="0.75" header="0.3" footer="0.3"/>
      <autoFilter ref="A49:V220" xr:uid="{40470811-D85E-4FCB-8EA8-C9B2AF8ED43C}"/>
      <extLst>
        <ext uri="GoogleSheetsCustomDataVersion1">
          <go:sheetsCustomData xmlns:go="http://customooxmlschemas.google.com/" filterViewId="1372234398"/>
        </ext>
      </extLst>
    </customSheetView>
    <customSheetView guid="{CC605D33-8F51-41B7-B31E-1B663A0C1CB8}" filter="1" showAutoFilter="1">
      <pageMargins left="0.7" right="0.7" top="0.75" bottom="0.75" header="0.3" footer="0.3"/>
      <autoFilter ref="A49:U220" xr:uid="{DE8A56B0-8454-4D3E-A009-6D4686989B4A}"/>
      <extLst>
        <ext uri="GoogleSheetsCustomDataVersion1">
          <go:sheetsCustomData xmlns:go="http://customooxmlschemas.google.com/" filterViewId="1373548850"/>
        </ext>
      </extLst>
    </customSheetView>
    <customSheetView guid="{F56FB6B3-F666-4AA5-BA7D-7DC37E308C2C}" filter="1" showAutoFilter="1">
      <pageMargins left="0.7" right="0.7" top="0.75" bottom="0.75" header="0.3" footer="0.3"/>
      <autoFilter ref="A49:M220" xr:uid="{E90CA0EA-3355-408D-B470-071167CA0A85}"/>
      <extLst>
        <ext uri="GoogleSheetsCustomDataVersion1">
          <go:sheetsCustomData xmlns:go="http://customooxmlschemas.google.com/" filterViewId="137444192"/>
        </ext>
      </extLst>
    </customSheetView>
    <customSheetView guid="{16F4301D-B836-42F7-8020-2803956B914A}" filter="1" showAutoFilter="1">
      <pageMargins left="0.7" right="0.7" top="0.75" bottom="0.75" header="0.3" footer="0.3"/>
      <autoFilter ref="A49:I220" xr:uid="{43C91A2C-C053-44D9-A8C7-DA8767B6F253}"/>
      <extLst>
        <ext uri="GoogleSheetsCustomDataVersion1">
          <go:sheetsCustomData xmlns:go="http://customooxmlschemas.google.com/" filterViewId="1393621529"/>
        </ext>
      </extLst>
    </customSheetView>
    <customSheetView guid="{BF854CA7-F810-481B-96CA-127EB201C988}" filter="1" showAutoFilter="1">
      <pageMargins left="0.7" right="0.7" top="0.75" bottom="0.75" header="0.3" footer="0.3"/>
      <autoFilter ref="A2:O220" xr:uid="{C0ACD15A-1EB4-4215-ADF6-8C66612B1C43}"/>
      <extLst>
        <ext uri="GoogleSheetsCustomDataVersion1">
          <go:sheetsCustomData xmlns:go="http://customooxmlschemas.google.com/" filterViewId="1398506678"/>
        </ext>
      </extLst>
    </customSheetView>
    <customSheetView guid="{AE630A8F-EC20-43C5-8552-981385AA5F99}" filter="1" showAutoFilter="1">
      <pageMargins left="0.7" right="0.7" top="0.75" bottom="0.75" header="0.3" footer="0.3"/>
      <autoFilter ref="A49:M220" xr:uid="{C0A39C40-D2D0-4709-9D0D-C9A0A4953F36}"/>
      <extLst>
        <ext uri="GoogleSheetsCustomDataVersion1">
          <go:sheetsCustomData xmlns:go="http://customooxmlschemas.google.com/" filterViewId="1403176320"/>
        </ext>
      </extLst>
    </customSheetView>
    <customSheetView guid="{C798109D-4604-4BCB-A03A-1A0B5730EEEA}" filter="1" showAutoFilter="1">
      <pageMargins left="0.7" right="0.7" top="0.75" bottom="0.75" header="0.3" footer="0.3"/>
      <autoFilter ref="A1:I220" xr:uid="{AA30800D-DD4F-4CCD-98F4-39770F377F07}"/>
      <extLst>
        <ext uri="GoogleSheetsCustomDataVersion1">
          <go:sheetsCustomData xmlns:go="http://customooxmlschemas.google.com/" filterViewId="1409559527"/>
        </ext>
      </extLst>
    </customSheetView>
    <customSheetView guid="{207366EA-06E5-4A7A-A8D5-930D94B44938}" filter="1" showAutoFilter="1">
      <pageMargins left="0.7" right="0.7" top="0.75" bottom="0.75" header="0.3" footer="0.3"/>
      <autoFilter ref="A1:V220" xr:uid="{39F1C632-B39A-40CE-A737-604FD0A934E1}"/>
      <extLst>
        <ext uri="GoogleSheetsCustomDataVersion1">
          <go:sheetsCustomData xmlns:go="http://customooxmlschemas.google.com/" filterViewId="1415388224"/>
        </ext>
      </extLst>
    </customSheetView>
    <customSheetView guid="{35895A84-4FC6-4B15-A2A8-F8E79622C3D5}" filter="1" showAutoFilter="1">
      <pageMargins left="0.7" right="0.7" top="0.75" bottom="0.75" header="0.3" footer="0.3"/>
      <autoFilter ref="A1:V220" xr:uid="{4C2E914A-7417-4F02-8234-CE624EA72F3F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424353979"/>
        </ext>
      </extLst>
    </customSheetView>
    <customSheetView guid="{F5B0A4A1-1151-497C-8044-D5F67182BB6B}" filter="1" showAutoFilter="1">
      <pageMargins left="0.7" right="0.7" top="0.75" bottom="0.75" header="0.3" footer="0.3"/>
      <autoFilter ref="B57:B220" xr:uid="{0EFE9EEC-0FF0-4477-AD6F-7B46828082D8}"/>
      <extLst>
        <ext uri="GoogleSheetsCustomDataVersion1">
          <go:sheetsCustomData xmlns:go="http://customooxmlschemas.google.com/" filterViewId="1433341409"/>
        </ext>
      </extLst>
    </customSheetView>
    <customSheetView guid="{415177D4-69C6-49B2-AC44-16824A0261AD}" filter="1" showAutoFilter="1">
      <pageMargins left="0.7" right="0.7" top="0.75" bottom="0.75" header="0.3" footer="0.3"/>
      <autoFilter ref="A1:I220" xr:uid="{27DA30F0-3F14-49B9-B5C5-C87C5398535F}"/>
      <extLst>
        <ext uri="GoogleSheetsCustomDataVersion1">
          <go:sheetsCustomData xmlns:go="http://customooxmlschemas.google.com/" filterViewId="1435192497"/>
        </ext>
      </extLst>
    </customSheetView>
    <customSheetView guid="{4693FF95-89F1-49D1-A143-D590B5504BB9}" filter="1" showAutoFilter="1">
      <pageMargins left="0.7" right="0.7" top="0.75" bottom="0.75" header="0.3" footer="0.3"/>
      <autoFilter ref="A1:V220" xr:uid="{6662269A-5981-4597-A207-24E7AF7C89BE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468966608"/>
        </ext>
      </extLst>
    </customSheetView>
    <customSheetView guid="{D8B6EA5F-A187-41FE-BB79-4E0A24DC82A6}" filter="1" showAutoFilter="1">
      <pageMargins left="0.7" right="0.7" top="0.75" bottom="0.75" header="0.3" footer="0.3"/>
      <autoFilter ref="A1:V220" xr:uid="{633C7819-0C8C-4E28-A728-F5A1391C11B5}"/>
      <extLst>
        <ext uri="GoogleSheetsCustomDataVersion1">
          <go:sheetsCustomData xmlns:go="http://customooxmlschemas.google.com/" filterViewId="1472013984"/>
        </ext>
      </extLst>
    </customSheetView>
    <customSheetView guid="{E04BCF6F-DFDA-4386-A429-D8C54A0A8221}" filter="1" showAutoFilter="1">
      <pageMargins left="0.7" right="0.7" top="0.75" bottom="0.75" header="0.3" footer="0.3"/>
      <autoFilter ref="A49:I220" xr:uid="{8D72861E-8908-4A72-A18B-B3BF59EF662D}"/>
      <extLst>
        <ext uri="GoogleSheetsCustomDataVersion1">
          <go:sheetsCustomData xmlns:go="http://customooxmlschemas.google.com/" filterViewId="1472326179"/>
        </ext>
      </extLst>
    </customSheetView>
    <customSheetView guid="{BB3A72A8-536B-4CEE-983B-3B1064B08189}" filter="1" showAutoFilter="1">
      <pageMargins left="0.7" right="0.7" top="0.75" bottom="0.75" header="0.3" footer="0.3"/>
      <autoFilter ref="M49:M53" xr:uid="{FBB36FA8-D3C6-448C-9CB1-677B2EE61011}"/>
      <extLst>
        <ext uri="GoogleSheetsCustomDataVersion1">
          <go:sheetsCustomData xmlns:go="http://customooxmlschemas.google.com/" filterViewId="1473432893"/>
        </ext>
      </extLst>
    </customSheetView>
    <customSheetView guid="{E420F5C5-FA1C-45D4-85B1-40E41CD771D9}" filter="1" showAutoFilter="1">
      <pageMargins left="0.7" right="0.7" top="0.75" bottom="0.75" header="0.3" footer="0.3"/>
      <autoFilter ref="A49:J220" xr:uid="{613D22E5-8839-4C1E-A3C0-3C1352F43A89}"/>
      <extLst>
        <ext uri="GoogleSheetsCustomDataVersion1">
          <go:sheetsCustomData xmlns:go="http://customooxmlschemas.google.com/" filterViewId="1485606563"/>
        </ext>
      </extLst>
    </customSheetView>
    <customSheetView guid="{75DACD84-E730-4FC8-9D84-6613B9F79DE4}" filter="1" showAutoFilter="1">
      <pageMargins left="0.7" right="0.7" top="0.75" bottom="0.75" header="0.3" footer="0.3"/>
      <autoFilter ref="A49:I220" xr:uid="{C259DA83-F5B5-48CC-9EDC-26AFC3105AC5}"/>
      <extLst>
        <ext uri="GoogleSheetsCustomDataVersion1">
          <go:sheetsCustomData xmlns:go="http://customooxmlschemas.google.com/" filterViewId="1509262231"/>
        </ext>
      </extLst>
    </customSheetView>
    <customSheetView guid="{1E107AD8-4A76-44CE-A9E1-AC0B663F3D7A}" filter="1" showAutoFilter="1">
      <pageMargins left="0.7" right="0.7" top="0.75" bottom="0.75" header="0.3" footer="0.3"/>
      <autoFilter ref="A49:M220" xr:uid="{A97D9FDD-B265-482F-AD35-14DED8C7CAEE}"/>
      <extLst>
        <ext uri="GoogleSheetsCustomDataVersion1">
          <go:sheetsCustomData xmlns:go="http://customooxmlschemas.google.com/" filterViewId="1512304757"/>
        </ext>
      </extLst>
    </customSheetView>
    <customSheetView guid="{0D6C0055-A8FD-46C4-B2B7-CE5CC0B77CA1}" filter="1" showAutoFilter="1">
      <pageMargins left="0.7" right="0.7" top="0.75" bottom="0.75" header="0.3" footer="0.3"/>
      <autoFilter ref="A49:V220" xr:uid="{26419189-1826-4B40-91F3-AA4C374CAD7C}"/>
      <extLst>
        <ext uri="GoogleSheetsCustomDataVersion1">
          <go:sheetsCustomData xmlns:go="http://customooxmlschemas.google.com/" filterViewId="1515271626"/>
        </ext>
      </extLst>
    </customSheetView>
    <customSheetView guid="{D01923C6-A7EE-408C-833F-D29461704E70}" filter="1" showAutoFilter="1">
      <pageMargins left="0.7" right="0.7" top="0.75" bottom="0.75" header="0.3" footer="0.3"/>
      <autoFilter ref="P220" xr:uid="{2D7BE040-E1B6-4A40-8395-5B370B6EE743}"/>
      <extLst>
        <ext uri="GoogleSheetsCustomDataVersion1">
          <go:sheetsCustomData xmlns:go="http://customooxmlschemas.google.com/" filterViewId="1520596067"/>
        </ext>
      </extLst>
    </customSheetView>
    <customSheetView guid="{399CA99F-CCAB-41B7-A86F-4A8915850AD8}" filter="1" showAutoFilter="1">
      <pageMargins left="0.7" right="0.7" top="0.75" bottom="0.75" header="0.3" footer="0.3"/>
      <autoFilter ref="K1:L220" xr:uid="{FC4116D3-3D7F-4A1B-B645-4B622EC1B022}"/>
      <extLst>
        <ext uri="GoogleSheetsCustomDataVersion1">
          <go:sheetsCustomData xmlns:go="http://customooxmlschemas.google.com/" filterViewId="1539962931"/>
        </ext>
      </extLst>
    </customSheetView>
    <customSheetView guid="{B5E4F1A3-A1CE-4A78-A686-68FB57442A81}" filter="1" showAutoFilter="1">
      <pageMargins left="0.7" right="0.7" top="0.75" bottom="0.75" header="0.3" footer="0.3"/>
      <autoFilter ref="A1:V220" xr:uid="{050955C3-8E09-4481-A22E-5804BE625731}"/>
      <extLst>
        <ext uri="GoogleSheetsCustomDataVersion1">
          <go:sheetsCustomData xmlns:go="http://customooxmlschemas.google.com/" filterViewId="1562338037"/>
        </ext>
      </extLst>
    </customSheetView>
    <customSheetView guid="{C70E7553-7B63-426F-B13E-9BC43B57B462}" filter="1" showAutoFilter="1">
      <pageMargins left="0.7" right="0.7" top="0.75" bottom="0.75" header="0.3" footer="0.3"/>
      <autoFilter ref="A1:I220" xr:uid="{5A1FDA9B-46D2-466A-A6DE-566B83C71154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562543755"/>
        </ext>
      </extLst>
    </customSheetView>
    <customSheetView guid="{1187F710-8C93-4B53-A6DF-7457530643E4}" filter="1" showAutoFilter="1">
      <pageMargins left="0.7" right="0.7" top="0.75" bottom="0.75" header="0.3" footer="0.3"/>
      <autoFilter ref="A49:M220" xr:uid="{D9AE8426-4B64-4443-AFE8-53B624F65A30}"/>
      <extLst>
        <ext uri="GoogleSheetsCustomDataVersion1">
          <go:sheetsCustomData xmlns:go="http://customooxmlschemas.google.com/" filterViewId="15636484"/>
        </ext>
      </extLst>
    </customSheetView>
    <customSheetView guid="{B4306AB6-087F-4D43-854C-29674B567631}" filter="1" showAutoFilter="1">
      <pageMargins left="0.7" right="0.7" top="0.75" bottom="0.75" header="0.3" footer="0.3"/>
      <autoFilter ref="A49:V220" xr:uid="{268D35DD-3C71-47F7-8B55-006170F75AAE}"/>
      <extLst>
        <ext uri="GoogleSheetsCustomDataVersion1">
          <go:sheetsCustomData xmlns:go="http://customooxmlschemas.google.com/" filterViewId="1596391296"/>
        </ext>
      </extLst>
    </customSheetView>
    <customSheetView guid="{7B675507-1C76-4C97-874C-76A779B09CAB}" filter="1" showAutoFilter="1">
      <pageMargins left="0.7" right="0.7" top="0.75" bottom="0.75" header="0.3" footer="0.3"/>
      <autoFilter ref="A49:O220" xr:uid="{79616AA4-816D-403C-912C-2946F29DF60A}"/>
      <extLst>
        <ext uri="GoogleSheetsCustomDataVersion1">
          <go:sheetsCustomData xmlns:go="http://customooxmlschemas.google.com/" filterViewId="1622507013"/>
        </ext>
      </extLst>
    </customSheetView>
    <customSheetView guid="{9CEF5B33-7819-45EA-942F-F973A16B062D}" filter="1" showAutoFilter="1">
      <pageMargins left="0.7" right="0.7" top="0.75" bottom="0.75" header="0.3" footer="0.3"/>
      <autoFilter ref="A49:I220" xr:uid="{33E94649-22C8-4810-9875-9FFD15A44219}"/>
      <extLst>
        <ext uri="GoogleSheetsCustomDataVersion1">
          <go:sheetsCustomData xmlns:go="http://customooxmlschemas.google.com/" filterViewId="1636123639"/>
        </ext>
      </extLst>
    </customSheetView>
    <customSheetView guid="{C45F2CFE-D13D-411A-9969-62D37A4E659F}" filter="1" showAutoFilter="1">
      <pageMargins left="0.7" right="0.7" top="0.75" bottom="0.75" header="0.3" footer="0.3"/>
      <autoFilter ref="A49:M220" xr:uid="{F4F25145-9E25-4143-A1DE-7B9AE9521051}"/>
      <extLst>
        <ext uri="GoogleSheetsCustomDataVersion1">
          <go:sheetsCustomData xmlns:go="http://customooxmlschemas.google.com/" filterViewId="1649622973"/>
        </ext>
      </extLst>
    </customSheetView>
    <customSheetView guid="{D244C322-20DC-49ED-91F3-CD1DE6B82879}" filter="1" showAutoFilter="1">
      <pageMargins left="0.7" right="0.7" top="0.75" bottom="0.75" header="0.3" footer="0.3"/>
      <autoFilter ref="A49:I220" xr:uid="{2DCBD9C6-3DDF-42CE-AEB1-C97540BC133B}"/>
      <extLst>
        <ext uri="GoogleSheetsCustomDataVersion1">
          <go:sheetsCustomData xmlns:go="http://customooxmlschemas.google.com/" filterViewId="1679218736"/>
        </ext>
      </extLst>
    </customSheetView>
    <customSheetView guid="{D64303A7-008D-42DE-93C7-A25CF311B806}" filter="1" showAutoFilter="1">
      <pageMargins left="0.7" right="0.7" top="0.75" bottom="0.75" header="0.3" footer="0.3"/>
      <autoFilter ref="A2:O220" xr:uid="{5BE32B8A-9C8D-4AD8-874E-12435AA4E4D8}"/>
      <extLst>
        <ext uri="GoogleSheetsCustomDataVersion1">
          <go:sheetsCustomData xmlns:go="http://customooxmlschemas.google.com/" filterViewId="1708648800"/>
        </ext>
      </extLst>
    </customSheetView>
    <customSheetView guid="{636C691A-F644-47E2-8555-F838B7CB08FD}" filter="1" showAutoFilter="1">
      <pageMargins left="0.7" right="0.7" top="0.75" bottom="0.75" header="0.3" footer="0.3"/>
      <autoFilter ref="A49:AA220" xr:uid="{632E65AC-0BDD-4304-81B0-794810F4F8BA}"/>
      <extLst>
        <ext uri="GoogleSheetsCustomDataVersion1">
          <go:sheetsCustomData xmlns:go="http://customooxmlschemas.google.com/" filterViewId="1709642649"/>
        </ext>
      </extLst>
    </customSheetView>
    <customSheetView guid="{C6442E6F-776E-4212-847E-94DFDDF97E9C}" filter="1" showAutoFilter="1">
      <pageMargins left="0.7" right="0.7" top="0.75" bottom="0.75" header="0.3" footer="0.3"/>
      <autoFilter ref="A49:AA220" xr:uid="{EB7740F2-C6DA-443B-B861-F9001D0190C3}"/>
      <extLst>
        <ext uri="GoogleSheetsCustomDataVersion1">
          <go:sheetsCustomData xmlns:go="http://customooxmlschemas.google.com/" filterViewId="1716615567"/>
        </ext>
      </extLst>
    </customSheetView>
    <customSheetView guid="{D032A9DB-4E25-40E7-ADF5-F6638E51FAFB}" filter="1" showAutoFilter="1">
      <pageMargins left="0.7" right="0.7" top="0.75" bottom="0.75" header="0.3" footer="0.3"/>
      <autoFilter ref="A49:M220" xr:uid="{4C8E752F-EEF2-465B-BDC5-AD380CF044CB}"/>
      <extLst>
        <ext uri="GoogleSheetsCustomDataVersion1">
          <go:sheetsCustomData xmlns:go="http://customooxmlschemas.google.com/" filterViewId="1734251948"/>
        </ext>
      </extLst>
    </customSheetView>
    <customSheetView guid="{C2A4986B-5443-45E6-8E03-D7BBADA51C58}" filter="1" showAutoFilter="1">
      <pageMargins left="0.7" right="0.7" top="0.75" bottom="0.75" header="0.3" footer="0.3"/>
      <autoFilter ref="A1:V220" xr:uid="{EE38F9CD-10FC-4C5E-BAD1-DEA3E3217551}"/>
      <extLst>
        <ext uri="GoogleSheetsCustomDataVersion1">
          <go:sheetsCustomData xmlns:go="http://customooxmlschemas.google.com/" filterViewId="1767692522"/>
        </ext>
      </extLst>
    </customSheetView>
    <customSheetView guid="{21D3ABEC-E9B8-4B9E-B21F-3A1E35E59296}" filter="1" showAutoFilter="1">
      <pageMargins left="0.7" right="0.7" top="0.75" bottom="0.75" header="0.3" footer="0.3"/>
      <autoFilter ref="A2:O220" xr:uid="{E0E3C2EF-EAE5-4021-85CE-41ECCC24B9E4}"/>
      <extLst>
        <ext uri="GoogleSheetsCustomDataVersion1">
          <go:sheetsCustomData xmlns:go="http://customooxmlschemas.google.com/" filterViewId="1781507866"/>
        </ext>
      </extLst>
    </customSheetView>
    <customSheetView guid="{D84CEC73-EE9D-4C60-BD3C-7ADE6B8942A3}" filter="1" showAutoFilter="1">
      <pageMargins left="0.7" right="0.7" top="0.75" bottom="0.75" header="0.3" footer="0.3"/>
      <autoFilter ref="A2:O220" xr:uid="{37EA9C53-1952-46CE-99E2-0BF0B6A50B82}"/>
      <extLst>
        <ext uri="GoogleSheetsCustomDataVersion1">
          <go:sheetsCustomData xmlns:go="http://customooxmlschemas.google.com/" filterViewId="1797673786"/>
        </ext>
      </extLst>
    </customSheetView>
    <customSheetView guid="{3CF00FDE-7551-417F-A3B7-071FB8CAD5A6}" filter="1" showAutoFilter="1">
      <pageMargins left="0.7" right="0.7" top="0.75" bottom="0.75" header="0.3" footer="0.3"/>
      <autoFilter ref="A49:I220" xr:uid="{5ABCC070-D56D-429C-BFE0-EB1C7754D84E}"/>
      <extLst>
        <ext uri="GoogleSheetsCustomDataVersion1">
          <go:sheetsCustomData xmlns:go="http://customooxmlschemas.google.com/" filterViewId="1801369949"/>
        </ext>
      </extLst>
    </customSheetView>
    <customSheetView guid="{CBE06436-1786-4100-8240-33A03D6341BB}" filter="1" showAutoFilter="1">
      <pageMargins left="0.7" right="0.7" top="0.75" bottom="0.75" header="0.3" footer="0.3"/>
      <autoFilter ref="A1:V220" xr:uid="{4AD9BB5A-F851-45AA-BEEB-742CE3A4D09D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832344893"/>
        </ext>
      </extLst>
    </customSheetView>
    <customSheetView guid="{1A78E216-AD46-44A0-9060-262F73619572}" filter="1" showAutoFilter="1">
      <pageMargins left="0.7" right="0.7" top="0.75" bottom="0.75" header="0.3" footer="0.3"/>
      <autoFilter ref="A49:I220" xr:uid="{936CDE17-91DE-4A41-947B-60BFDE750977}"/>
      <extLst>
        <ext uri="GoogleSheetsCustomDataVersion1">
          <go:sheetsCustomData xmlns:go="http://customooxmlschemas.google.com/" filterViewId="1837248367"/>
        </ext>
      </extLst>
    </customSheetView>
    <customSheetView guid="{4E5EDA9F-A36F-445A-886D-3EEAB87FECC8}" filter="1" showAutoFilter="1">
      <pageMargins left="0.7" right="0.7" top="0.75" bottom="0.75" header="0.3" footer="0.3"/>
      <autoFilter ref="A49:M187" xr:uid="{9E0CFE15-8CB6-4D34-A888-E8B7F52A26F9}"/>
      <extLst>
        <ext uri="GoogleSheetsCustomDataVersion1">
          <go:sheetsCustomData xmlns:go="http://customooxmlschemas.google.com/" filterViewId="185919351"/>
        </ext>
      </extLst>
    </customSheetView>
    <customSheetView guid="{9F75FFB3-F1FD-4974-A8B3-7EA947D02A33}" filter="1" showAutoFilter="1">
      <pageMargins left="0.7" right="0.7" top="0.75" bottom="0.75" header="0.3" footer="0.3"/>
      <autoFilter ref="A49:O220" xr:uid="{5E15DEB3-6E5A-4482-8B90-21EA2C33BE1C}"/>
      <extLst>
        <ext uri="GoogleSheetsCustomDataVersion1">
          <go:sheetsCustomData xmlns:go="http://customooxmlschemas.google.com/" filterViewId="1879702675"/>
        </ext>
      </extLst>
    </customSheetView>
    <customSheetView guid="{BFAD60BA-8618-4F78-92CE-83AE13F01A3B}" filter="1" showAutoFilter="1">
      <pageMargins left="0.7" right="0.7" top="0.75" bottom="0.75" header="0.3" footer="0.3"/>
      <autoFilter ref="A1:V220" xr:uid="{08057443-8403-406F-943B-30A69184B7DF}"/>
      <extLst>
        <ext uri="GoogleSheetsCustomDataVersion1">
          <go:sheetsCustomData xmlns:go="http://customooxmlschemas.google.com/" filterViewId="187998180"/>
        </ext>
      </extLst>
    </customSheetView>
    <customSheetView guid="{61093876-A7FA-4A91-B12D-271A029B9412}" filter="1" showAutoFilter="1">
      <pageMargins left="0.7" right="0.7" top="0.75" bottom="0.75" header="0.3" footer="0.3"/>
      <autoFilter ref="A49:U220" xr:uid="{FF1E6B0A-97AD-40B9-BE4A-1BF378779186}"/>
      <extLst>
        <ext uri="GoogleSheetsCustomDataVersion1">
          <go:sheetsCustomData xmlns:go="http://customooxmlschemas.google.com/" filterViewId="189340747"/>
        </ext>
      </extLst>
    </customSheetView>
    <customSheetView guid="{941495F1-D6A5-472F-BEB0-6902BA9F7689}" filter="1" showAutoFilter="1">
      <pageMargins left="0.7" right="0.7" top="0.75" bottom="0.75" header="0.3" footer="0.3"/>
      <autoFilter ref="R3:V20" xr:uid="{7D493137-F718-4054-8E83-E003D796FBE9}"/>
      <extLst>
        <ext uri="GoogleSheetsCustomDataVersion1">
          <go:sheetsCustomData xmlns:go="http://customooxmlschemas.google.com/" filterViewId="1895617895"/>
        </ext>
      </extLst>
    </customSheetView>
    <customSheetView guid="{AC42C643-2221-4965-AFA1-3F2281718069}" filter="1" showAutoFilter="1">
      <pageMargins left="0.7" right="0.7" top="0.75" bottom="0.75" header="0.3" footer="0.3"/>
      <autoFilter ref="A49:O220" xr:uid="{77038341-BCD4-4ECC-945F-88AC82EBBC35}"/>
      <extLst>
        <ext uri="GoogleSheetsCustomDataVersion1">
          <go:sheetsCustomData xmlns:go="http://customooxmlschemas.google.com/" filterViewId="1905388939"/>
        </ext>
      </extLst>
    </customSheetView>
    <customSheetView guid="{022B7002-BF2C-467C-94C6-2F4B1957B723}" filter="1" showAutoFilter="1">
      <pageMargins left="0.7" right="0.7" top="0.75" bottom="0.75" header="0.3" footer="0.3"/>
      <autoFilter ref="A1:V220" xr:uid="{7373E30B-7B2C-41E9-8092-4DD6D379D61F}"/>
      <extLst>
        <ext uri="GoogleSheetsCustomDataVersion1">
          <go:sheetsCustomData xmlns:go="http://customooxmlschemas.google.com/" filterViewId="1922461570"/>
        </ext>
      </extLst>
    </customSheetView>
    <customSheetView guid="{7187F25A-3EAF-42F1-AF8C-E58536792040}" filter="1" showAutoFilter="1">
      <pageMargins left="0.7" right="0.7" top="0.75" bottom="0.75" header="0.3" footer="0.3"/>
      <autoFilter ref="A49:AA220" xr:uid="{F9232AA3-6380-4C47-93BE-1BE4EA86A126}"/>
      <extLst>
        <ext uri="GoogleSheetsCustomDataVersion1">
          <go:sheetsCustomData xmlns:go="http://customooxmlschemas.google.com/" filterViewId="1922798539"/>
        </ext>
      </extLst>
    </customSheetView>
    <customSheetView guid="{BE65F6DD-399B-428E-BB3F-BCC96056DA57}" filter="1" showAutoFilter="1">
      <pageMargins left="0.7" right="0.7" top="0.75" bottom="0.75" header="0.3" footer="0.3"/>
      <autoFilter ref="A49:AA220" xr:uid="{2A84B809-6DB2-4F6C-AA87-FE22D2CBBD9E}"/>
      <extLst>
        <ext uri="GoogleSheetsCustomDataVersion1">
          <go:sheetsCustomData xmlns:go="http://customooxmlschemas.google.com/" filterViewId="1934378667"/>
        </ext>
      </extLst>
    </customSheetView>
    <customSheetView guid="{B98AFEF4-BC2B-43A3-A2BA-F6114E6C2754}" filter="1" showAutoFilter="1">
      <pageMargins left="0.7" right="0.7" top="0.75" bottom="0.75" header="0.3" footer="0.3"/>
      <autoFilter ref="A49:M220" xr:uid="{A0BDF40E-29E6-4B2F-BDB4-7C1A1515268A}"/>
      <extLst>
        <ext uri="GoogleSheetsCustomDataVersion1">
          <go:sheetsCustomData xmlns:go="http://customooxmlschemas.google.com/" filterViewId="194767888"/>
        </ext>
      </extLst>
    </customSheetView>
    <customSheetView guid="{82E21F95-1658-417F-B1CA-2512C9DA8B72}" filter="1" showAutoFilter="1">
      <pageMargins left="0.7" right="0.7" top="0.75" bottom="0.75" header="0.3" footer="0.3"/>
      <autoFilter ref="A49:O220" xr:uid="{D24DBA37-0BC0-46CB-AF0F-2AC0214EE85F}"/>
      <extLst>
        <ext uri="GoogleSheetsCustomDataVersion1">
          <go:sheetsCustomData xmlns:go="http://customooxmlschemas.google.com/" filterViewId="1952460655"/>
        </ext>
      </extLst>
    </customSheetView>
    <customSheetView guid="{FAEF2C7F-3C68-45C7-AFF8-3A03981A467E}" filter="1" showAutoFilter="1">
      <pageMargins left="0.7" right="0.7" top="0.75" bottom="0.75" header="0.3" footer="0.3"/>
      <autoFilter ref="A1:AA220" xr:uid="{EB7844A8-C68F-4641-8B87-69E677B714AF}"/>
      <extLst>
        <ext uri="GoogleSheetsCustomDataVersion1">
          <go:sheetsCustomData xmlns:go="http://customooxmlschemas.google.com/" filterViewId="1970561399"/>
        </ext>
      </extLst>
    </customSheetView>
    <customSheetView guid="{C64B538E-0962-4D5E-86E4-16DF91F67BB6}" filter="1" showAutoFilter="1">
      <pageMargins left="0.7" right="0.7" top="0.75" bottom="0.75" header="0.3" footer="0.3"/>
      <autoFilter ref="A1:V220" xr:uid="{CC74B5D2-2ED8-45E4-AEFD-33B045670496}"/>
      <extLst>
        <ext uri="GoogleSheetsCustomDataVersion1">
          <go:sheetsCustomData xmlns:go="http://customooxmlschemas.google.com/" filterViewId="1983349160"/>
        </ext>
      </extLst>
    </customSheetView>
    <customSheetView guid="{46F690DE-B704-4543-ADDC-843710AE2022}" filter="1" showAutoFilter="1">
      <pageMargins left="0.7" right="0.7" top="0.75" bottom="0.75" header="0.3" footer="0.3"/>
      <autoFilter ref="A2:O220" xr:uid="{BBB12D0B-B686-488B-81D4-F338B6025850}"/>
      <extLst>
        <ext uri="GoogleSheetsCustomDataVersion1">
          <go:sheetsCustomData xmlns:go="http://customooxmlschemas.google.com/" filterViewId="198811509"/>
        </ext>
      </extLst>
    </customSheetView>
    <customSheetView guid="{F9DE771A-18A2-4404-962B-2DD44CB4E30D}" filter="1" showAutoFilter="1">
      <pageMargins left="0.7" right="0.7" top="0.75" bottom="0.75" header="0.3" footer="0.3"/>
      <autoFilter ref="A49:J63" xr:uid="{F6E3EBF1-A676-4899-A4DB-AEB1D942280B}"/>
      <extLst>
        <ext uri="GoogleSheetsCustomDataVersion1">
          <go:sheetsCustomData xmlns:go="http://customooxmlschemas.google.com/" filterViewId="2044742350"/>
        </ext>
      </extLst>
    </customSheetView>
    <customSheetView guid="{971C5F02-9B1E-485C-B1A9-90404A374CF4}" filter="1" showAutoFilter="1">
      <pageMargins left="0.7" right="0.7" top="0.75" bottom="0.75" header="0.3" footer="0.3"/>
      <autoFilter ref="A49:I220" xr:uid="{6771AC58-8593-4E16-BF2A-7D4BB28D3996}"/>
      <extLst>
        <ext uri="GoogleSheetsCustomDataVersion1">
          <go:sheetsCustomData xmlns:go="http://customooxmlschemas.google.com/" filterViewId="2045357579"/>
        </ext>
      </extLst>
    </customSheetView>
    <customSheetView guid="{BE65F6DD-399B-428E-BB3F-BCC96056DA57}" filter="1" showAutoFilter="1">
      <pageMargins left="0.7" right="0.7" top="0.75" bottom="0.75" header="0.3" footer="0.3"/>
      <autoFilter ref="A1:AA220" xr:uid="{DD294479-FCA1-4F38-94A0-142E54C7664F}"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205196111"/>
        </ext>
      </extLst>
    </customSheetView>
    <customSheetView guid="{3785B557-4AE9-4AF6-A2C2-13FE9E0136EA}" filter="1" showAutoFilter="1">
      <pageMargins left="0.7" right="0.7" top="0.75" bottom="0.75" header="0.3" footer="0.3"/>
      <autoFilter ref="A1:AA220" xr:uid="{83F51A52-8AD2-41C9-8276-E107714E7F27}"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2072150169"/>
        </ext>
      </extLst>
    </customSheetView>
    <customSheetView guid="{5727B7AE-53CF-47FC-A192-2FFE798B15CD}" filter="1" showAutoFilter="1">
      <pageMargins left="0.7" right="0.7" top="0.75" bottom="0.75" header="0.3" footer="0.3"/>
      <autoFilter ref="A49:I220" xr:uid="{56EC6BBF-BF63-47AC-B473-8E7490E7B52C}"/>
      <extLst>
        <ext uri="GoogleSheetsCustomDataVersion1">
          <go:sheetsCustomData xmlns:go="http://customooxmlschemas.google.com/" filterViewId="2072670567"/>
        </ext>
      </extLst>
    </customSheetView>
    <customSheetView guid="{7284F595-B615-41DE-95E5-376C6CD6673F}" filter="1" showAutoFilter="1">
      <pageMargins left="0.7" right="0.7" top="0.75" bottom="0.75" header="0.3" footer="0.3"/>
      <autoFilter ref="A49:O220" xr:uid="{C639EAB7-E1AF-4E5C-9C4A-9EBE66BB277D}"/>
      <extLst>
        <ext uri="GoogleSheetsCustomDataVersion1">
          <go:sheetsCustomData xmlns:go="http://customooxmlschemas.google.com/" filterViewId="2081209738"/>
        </ext>
      </extLst>
    </customSheetView>
    <customSheetView guid="{F26DA7BC-EBF9-48D6-AD40-3714AF19063A}" filter="1" showAutoFilter="1">
      <pageMargins left="0.7" right="0.7" top="0.75" bottom="0.75" header="0.3" footer="0.3"/>
      <autoFilter ref="A49:O63" xr:uid="{5F94E2F9-FBE1-43BB-9FFA-F48CEDB5E6C4}"/>
      <extLst>
        <ext uri="GoogleSheetsCustomDataVersion1">
          <go:sheetsCustomData xmlns:go="http://customooxmlschemas.google.com/" filterViewId="208533776"/>
        </ext>
      </extLst>
    </customSheetView>
    <customSheetView guid="{9606A4B3-1BC0-452F-883A-4EF796C71F74}" filter="1" showAutoFilter="1">
      <pageMargins left="0.7" right="0.7" top="0.75" bottom="0.75" header="0.3" footer="0.3"/>
      <autoFilter ref="A2:O220" xr:uid="{D3DEE997-39DE-4320-92E5-D2C13447A80D}"/>
      <extLst>
        <ext uri="GoogleSheetsCustomDataVersion1">
          <go:sheetsCustomData xmlns:go="http://customooxmlschemas.google.com/" filterViewId="2103827302"/>
        </ext>
      </extLst>
    </customSheetView>
    <customSheetView guid="{7AB1E8AC-40AE-4C5C-9BDA-456DF484F5AC}" filter="1" showAutoFilter="1">
      <pageMargins left="0.7" right="0.7" top="0.75" bottom="0.75" header="0.3" footer="0.3"/>
      <autoFilter ref="A49:O220" xr:uid="{7946EE9A-A56F-4256-BBD2-60521BBE3341}"/>
      <extLst>
        <ext uri="GoogleSheetsCustomDataVersion1">
          <go:sheetsCustomData xmlns:go="http://customooxmlschemas.google.com/" filterViewId="2108009562"/>
        </ext>
      </extLst>
    </customSheetView>
    <customSheetView guid="{3975D1DF-8296-445E-A42B-725F6FF47E60}" filter="1" showAutoFilter="1">
      <pageMargins left="0.7" right="0.7" top="0.75" bottom="0.75" header="0.3" footer="0.3"/>
      <autoFilter ref="A1:I220" xr:uid="{AE2EC372-017B-4BF4-ABCD-8EFD0E7A9D24}"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2127030191"/>
        </ext>
      </extLst>
    </customSheetView>
    <customSheetView guid="{572EF3AC-D508-4E63-B67A-DDBAEF024046}" filter="1" showAutoFilter="1">
      <pageMargins left="0.7" right="0.7" top="0.75" bottom="0.75" header="0.3" footer="0.3"/>
      <autoFilter ref="A1:V220" xr:uid="{C9717D8C-5C13-4729-BD5C-3E0B54761449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2145114185"/>
        </ext>
      </extLst>
    </customSheetView>
    <customSheetView guid="{9153D549-821F-4323-ACFA-AD887DB51096}" filter="1" showAutoFilter="1">
      <pageMargins left="0.7" right="0.7" top="0.75" bottom="0.75" header="0.3" footer="0.3"/>
      <autoFilter ref="A49:I220" xr:uid="{A649EFFA-5225-43F1-BFE3-2B8FAF773265}"/>
      <extLst>
        <ext uri="GoogleSheetsCustomDataVersion1">
          <go:sheetsCustomData xmlns:go="http://customooxmlschemas.google.com/" filterViewId="2145497283"/>
        </ext>
      </extLst>
    </customSheetView>
    <customSheetView guid="{0D3440E2-FC27-4522-BB39-DF9F0B4D5D72}" filter="1" showAutoFilter="1">
      <pageMargins left="0.7" right="0.7" top="0.75" bottom="0.75" header="0.3" footer="0.3"/>
      <autoFilter ref="A2:O220" xr:uid="{7A897B55-FD88-4DE2-ABCB-8ED16D667EB1}"/>
      <extLst>
        <ext uri="GoogleSheetsCustomDataVersion1">
          <go:sheetsCustomData xmlns:go="http://customooxmlschemas.google.com/" filterViewId="22330532"/>
        </ext>
      </extLst>
    </customSheetView>
    <customSheetView guid="{D882DDE6-CE72-4198-BF6E-8949ECE51BD4}" filter="1" showAutoFilter="1">
      <pageMargins left="0.7" right="0.7" top="0.75" bottom="0.75" header="0.3" footer="0.3"/>
      <autoFilter ref="A1:I220" xr:uid="{B34D344D-849C-4150-9458-5DBD41EB2B94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256774455"/>
        </ext>
      </extLst>
    </customSheetView>
    <customSheetView guid="{A50EDA5E-0A24-4646-BCC0-46E1AF7647AA}" filter="1" showAutoFilter="1">
      <pageMargins left="0.7" right="0.7" top="0.75" bottom="0.75" header="0.3" footer="0.3"/>
      <autoFilter ref="A1:V220" xr:uid="{831E31A5-73B7-48A8-AA0B-551E2BEF5478}"/>
      <extLst>
        <ext uri="GoogleSheetsCustomDataVersion1">
          <go:sheetsCustomData xmlns:go="http://customooxmlschemas.google.com/" filterViewId="29527247"/>
        </ext>
      </extLst>
    </customSheetView>
    <customSheetView guid="{1A99267A-0283-4461-BF75-71DA22AC7D08}" filter="1" showAutoFilter="1">
      <pageMargins left="0.7" right="0.7" top="0.75" bottom="0.75" header="0.3" footer="0.3"/>
      <autoFilter ref="A49:I220" xr:uid="{3277A37B-9175-4651-A06F-30595C4B5D2F}"/>
      <extLst>
        <ext uri="GoogleSheetsCustomDataVersion1">
          <go:sheetsCustomData xmlns:go="http://customooxmlschemas.google.com/" filterViewId="297846484"/>
        </ext>
      </extLst>
    </customSheetView>
    <customSheetView guid="{128F9D38-1393-4A5A-8793-FA346A5557C6}" filter="1" showAutoFilter="1">
      <pageMargins left="0.7" right="0.7" top="0.75" bottom="0.75" header="0.3" footer="0.3"/>
      <autoFilter ref="A49:J63" xr:uid="{E053083E-6BBA-4E14-9B3C-D92D459BD485}"/>
      <extLst>
        <ext uri="GoogleSheetsCustomDataVersion1">
          <go:sheetsCustomData xmlns:go="http://customooxmlschemas.google.com/" filterViewId="3104153"/>
        </ext>
      </extLst>
    </customSheetView>
    <customSheetView guid="{52D82730-8101-42C2-8356-45F6C23FB072}" filter="1" showAutoFilter="1">
      <pageMargins left="0.7" right="0.7" top="0.75" bottom="0.75" header="0.3" footer="0.3"/>
      <autoFilter ref="A49:U220" xr:uid="{96568BDC-C992-4B56-9805-3D45413F7F19}"/>
      <extLst>
        <ext uri="GoogleSheetsCustomDataVersion1">
          <go:sheetsCustomData xmlns:go="http://customooxmlschemas.google.com/" filterViewId="313728309"/>
        </ext>
      </extLst>
    </customSheetView>
    <customSheetView guid="{DD03F7C5-881E-47D5-B147-00CDBDABBB1C}" filter="1" showAutoFilter="1">
      <pageMargins left="0.7" right="0.7" top="0.75" bottom="0.75" header="0.3" footer="0.3"/>
      <autoFilter ref="P49:P220" xr:uid="{9D56E76E-73BB-4E4C-AA4C-6D09235020F8}"/>
      <extLst>
        <ext uri="GoogleSheetsCustomDataVersion1">
          <go:sheetsCustomData xmlns:go="http://customooxmlschemas.google.com/" filterViewId="314260300"/>
        </ext>
      </extLst>
    </customSheetView>
    <customSheetView guid="{DB1FD483-6838-44DA-8553-3FBA6168CA60}" filter="1" showAutoFilter="1">
      <pageMargins left="0.7" right="0.7" top="0.75" bottom="0.75" header="0.3" footer="0.3"/>
      <autoFilter ref="A49:O220" xr:uid="{26D16301-626D-43B6-9173-E4331811508F}"/>
      <extLst>
        <ext uri="GoogleSheetsCustomDataVersion1">
          <go:sheetsCustomData xmlns:go="http://customooxmlschemas.google.com/" filterViewId="33123136"/>
        </ext>
      </extLst>
    </customSheetView>
    <customSheetView guid="{BD7589DB-E533-4290-9606-AA69C7E4348C}" filter="1" showAutoFilter="1">
      <pageMargins left="0.7" right="0.7" top="0.75" bottom="0.75" header="0.3" footer="0.3"/>
      <autoFilter ref="A49:M220" xr:uid="{93E944D1-FFEA-4228-9581-A01D77D67647}"/>
      <extLst>
        <ext uri="GoogleSheetsCustomDataVersion1">
          <go:sheetsCustomData xmlns:go="http://customooxmlschemas.google.com/" filterViewId="341838858"/>
        </ext>
      </extLst>
    </customSheetView>
    <customSheetView guid="{F7E8F26E-8764-4FA2-A2A3-DA3698DA687E}" filter="1" showAutoFilter="1">
      <pageMargins left="0.7" right="0.7" top="0.75" bottom="0.75" header="0.3" footer="0.3"/>
      <autoFilter ref="R49:T50" xr:uid="{F10E3294-89DB-411F-8129-ACB14C247ABA}"/>
      <extLst>
        <ext uri="GoogleSheetsCustomDataVersion1">
          <go:sheetsCustomData xmlns:go="http://customooxmlschemas.google.com/" filterViewId="346058342"/>
        </ext>
      </extLst>
    </customSheetView>
    <customSheetView guid="{D7718746-2F54-4DFE-A769-D6472F3E6C0B}" filter="1" showAutoFilter="1">
      <pageMargins left="0.7" right="0.7" top="0.75" bottom="0.75" header="0.3" footer="0.3"/>
      <autoFilter ref="A49:V220" xr:uid="{41C44C7F-CCA7-4BBB-BD7E-2EE913C54D5A}"/>
      <extLst>
        <ext uri="GoogleSheetsCustomDataVersion1">
          <go:sheetsCustomData xmlns:go="http://customooxmlschemas.google.com/" filterViewId="393575777"/>
        </ext>
      </extLst>
    </customSheetView>
    <customSheetView guid="{4C23C600-26F2-4062-8D06-D7DF755CD599}" filter="1" showAutoFilter="1">
      <pageMargins left="0.7" right="0.7" top="0.75" bottom="0.75" header="0.3" footer="0.3"/>
      <autoFilter ref="A1:V220" xr:uid="{70742313-0071-4A80-AC54-A55B4AC70228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476848120"/>
        </ext>
      </extLst>
    </customSheetView>
    <customSheetView guid="{E44B98C0-844E-4F9B-B0CA-59B94217FA6D}" filter="1" showAutoFilter="1">
      <pageMargins left="0.7" right="0.7" top="0.75" bottom="0.75" header="0.3" footer="0.3"/>
      <autoFilter ref="A1:V220" xr:uid="{1C4EB419-F4FD-465C-BF75-3B3D3556DDA6}"/>
      <extLst>
        <ext uri="GoogleSheetsCustomDataVersion1">
          <go:sheetsCustomData xmlns:go="http://customooxmlschemas.google.com/" filterViewId="485891696"/>
        </ext>
      </extLst>
    </customSheetView>
    <customSheetView guid="{083EE738-64D6-4E61-826A-8DE1537EB8D2}" filter="1" showAutoFilter="1">
      <pageMargins left="0.7" right="0.7" top="0.75" bottom="0.75" header="0.3" footer="0.3"/>
      <autoFilter ref="A1:V220" xr:uid="{D20F4BA7-E7DA-4AA8-833B-9B6FA0EA8F76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495784157"/>
        </ext>
      </extLst>
    </customSheetView>
    <customSheetView guid="{7F04ED7C-AC49-46EC-B849-703F10341C5D}" filter="1" showAutoFilter="1">
      <pageMargins left="0.7" right="0.7" top="0.75" bottom="0.75" header="0.3" footer="0.3"/>
      <autoFilter ref="A1:T50" xr:uid="{E86CC1FB-DE4A-41B5-928B-9DD636E6262E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513731145"/>
        </ext>
      </extLst>
    </customSheetView>
    <customSheetView guid="{9AB29BC3-9A36-4807-9E18-226781CBDA38}" filter="1" showAutoFilter="1">
      <pageMargins left="0.7" right="0.7" top="0.75" bottom="0.75" header="0.3" footer="0.3"/>
      <autoFilter ref="A49:M220" xr:uid="{39966B15-B351-4F5F-A481-2BD8A38C8840}"/>
      <extLst>
        <ext uri="GoogleSheetsCustomDataVersion1">
          <go:sheetsCustomData xmlns:go="http://customooxmlschemas.google.com/" filterViewId="542806834"/>
        </ext>
      </extLst>
    </customSheetView>
    <customSheetView guid="{D1C575F5-1C84-4676-BF56-DBF11A7D392C}" filter="1" showAutoFilter="1">
      <pageMargins left="0.7" right="0.7" top="0.75" bottom="0.75" header="0.3" footer="0.3"/>
      <autoFilter ref="A64:Q220" xr:uid="{DE19B259-7295-4277-919C-77D3C923045E}"/>
      <extLst>
        <ext uri="GoogleSheetsCustomDataVersion1">
          <go:sheetsCustomData xmlns:go="http://customooxmlschemas.google.com/" filterViewId="54506934"/>
        </ext>
      </extLst>
    </customSheetView>
    <customSheetView guid="{2616F909-F6A8-4875-92F1-7489011979BE}" filter="1" showAutoFilter="1">
      <pageMargins left="0.7" right="0.7" top="0.75" bottom="0.75" header="0.3" footer="0.3"/>
      <autoFilter ref="A49:AA220" xr:uid="{84B07680-23CF-4CEA-B154-7063F875F2BE}"/>
      <extLst>
        <ext uri="GoogleSheetsCustomDataVersion1">
          <go:sheetsCustomData xmlns:go="http://customooxmlschemas.google.com/" filterViewId="578811342"/>
        </ext>
      </extLst>
    </customSheetView>
    <customSheetView guid="{510F36EF-0F2F-4421-8AE2-42331185E17D}" filter="1" showAutoFilter="1">
      <pageMargins left="0.7" right="0.7" top="0.75" bottom="0.75" header="0.3" footer="0.3"/>
      <autoFilter ref="A49:O220" xr:uid="{BB8DCBE1-7F4A-4FEA-BE42-25DF9DA1D1B6}"/>
      <extLst>
        <ext uri="GoogleSheetsCustomDataVersion1">
          <go:sheetsCustomData xmlns:go="http://customooxmlschemas.google.com/" filterViewId="588146528"/>
        </ext>
      </extLst>
    </customSheetView>
    <customSheetView guid="{B92DDE69-5E88-447B-AC8C-54227A5354D3}" filter="1" showAutoFilter="1">
      <pageMargins left="0.7" right="0.7" top="0.75" bottom="0.75" header="0.3" footer="0.3"/>
      <autoFilter ref="A1:V220" xr:uid="{D391AE7A-E91C-440C-A012-D5E5A5D94BFA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589925107"/>
        </ext>
      </extLst>
    </customSheetView>
    <customSheetView guid="{71E9F136-BF55-4DE1-A35E-D0AE3E2D9B40}" filter="1" showAutoFilter="1">
      <pageMargins left="0.7" right="0.7" top="0.75" bottom="0.75" header="0.3" footer="0.3"/>
      <autoFilter ref="A49:U220" xr:uid="{95EBA334-A28B-4B51-8572-D45FFB16BAB7}"/>
      <extLst>
        <ext uri="GoogleSheetsCustomDataVersion1">
          <go:sheetsCustomData xmlns:go="http://customooxmlschemas.google.com/" filterViewId="600532170"/>
        </ext>
      </extLst>
    </customSheetView>
    <customSheetView guid="{B162741D-8425-4252-BBD0-02C84E11E10D}" filter="1" showAutoFilter="1">
      <pageMargins left="0.7" right="0.7" top="0.75" bottom="0.75" header="0.3" footer="0.3"/>
      <autoFilter ref="A1:I220" xr:uid="{59C994F3-C774-469D-8EAF-3D13850CEE08}"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609836751"/>
        </ext>
      </extLst>
    </customSheetView>
    <customSheetView guid="{9B1F8FA7-7628-4886-B11B-BEDED8C7DBA6}" filter="1" showAutoFilter="1">
      <pageMargins left="0.7" right="0.7" top="0.75" bottom="0.75" header="0.3" footer="0.3"/>
      <autoFilter ref="A1:I220" xr:uid="{E17094F0-E6F3-48AC-AD97-C49FC49AAFE1}"/>
      <extLst>
        <ext uri="GoogleSheetsCustomDataVersion1">
          <go:sheetsCustomData xmlns:go="http://customooxmlschemas.google.com/" filterViewId="615183201"/>
        </ext>
      </extLst>
    </customSheetView>
    <customSheetView guid="{E1BBFA9A-8080-46FE-A961-BB23E161865A}" filter="1" showAutoFilter="1">
      <pageMargins left="0.7" right="0.7" top="0.75" bottom="0.75" header="0.3" footer="0.3"/>
      <autoFilter ref="P49:P220" xr:uid="{406835BF-6CE3-49E6-A103-C5B9B5B5E4D1}"/>
      <extLst>
        <ext uri="GoogleSheetsCustomDataVersion1">
          <go:sheetsCustomData xmlns:go="http://customooxmlschemas.google.com/" filterViewId="639686157"/>
        </ext>
      </extLst>
    </customSheetView>
    <customSheetView guid="{7999E4B6-7D61-4AE0-ADF5-8A0A393A3158}" filter="1" showAutoFilter="1">
      <pageMargins left="0.7" right="0.7" top="0.75" bottom="0.75" header="0.3" footer="0.3"/>
      <autoFilter ref="A2:O220" xr:uid="{2660D2ED-2EC5-4093-A339-E4AF61B33B57}"/>
      <extLst>
        <ext uri="GoogleSheetsCustomDataVersion1">
          <go:sheetsCustomData xmlns:go="http://customooxmlschemas.google.com/" filterViewId="670554760"/>
        </ext>
      </extLst>
    </customSheetView>
    <customSheetView guid="{AE376600-0DC7-44D2-94B2-2029C1D5E558}" filter="1" showAutoFilter="1">
      <pageMargins left="0.7" right="0.7" top="0.75" bottom="0.75" header="0.3" footer="0.3"/>
      <autoFilter ref="A49:O220" xr:uid="{2C7D8339-26E7-4CC4-9B00-599BCDF3D54A}"/>
      <extLst>
        <ext uri="GoogleSheetsCustomDataVersion1">
          <go:sheetsCustomData xmlns:go="http://customooxmlschemas.google.com/" filterViewId="694366937"/>
        </ext>
      </extLst>
    </customSheetView>
    <customSheetView guid="{36F164B3-D871-43E5-A9AC-A6B23943FEEB}" filter="1" showAutoFilter="1">
      <pageMargins left="0.7" right="0.7" top="0.75" bottom="0.75" header="0.3" footer="0.3"/>
      <autoFilter ref="A49:I220" xr:uid="{7EC6EA0A-DD7E-4BEF-A4BB-96255EED0AE4}"/>
      <extLst>
        <ext uri="GoogleSheetsCustomDataVersion1">
          <go:sheetsCustomData xmlns:go="http://customooxmlschemas.google.com/" filterViewId="718576897"/>
        </ext>
      </extLst>
    </customSheetView>
    <customSheetView guid="{5A77D55B-90AE-46C6-8056-00D7E95E5C7B}" filter="1" showAutoFilter="1">
      <pageMargins left="0.7" right="0.7" top="0.75" bottom="0.75" header="0.3" footer="0.3"/>
      <autoFilter ref="A1:V220" xr:uid="{FC8622F6-C3F4-4907-923E-626865A6FEF1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731084919"/>
        </ext>
      </extLst>
    </customSheetView>
    <customSheetView guid="{93ECD254-DE4D-4685-A725-C03982E2F41A}" filter="1" showAutoFilter="1">
      <pageMargins left="0.7" right="0.7" top="0.75" bottom="0.75" header="0.3" footer="0.3"/>
      <autoFilter ref="A1:V220" xr:uid="{4A70587F-EAA7-4563-AB8E-811BA04EC642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747904384"/>
        </ext>
      </extLst>
    </customSheetView>
    <customSheetView guid="{EA83768B-FD5D-4C67-B984-7D21B1EE700F}" filter="1" showAutoFilter="1">
      <pageMargins left="0.7" right="0.7" top="0.75" bottom="0.75" header="0.3" footer="0.3"/>
      <autoFilter ref="A49:U220" xr:uid="{4EE5DCAF-6C73-4FBC-852F-09DF026BE5D7}"/>
      <extLst>
        <ext uri="GoogleSheetsCustomDataVersion1">
          <go:sheetsCustomData xmlns:go="http://customooxmlschemas.google.com/" filterViewId="749671388"/>
        </ext>
      </extLst>
    </customSheetView>
    <customSheetView guid="{7272C260-9D42-4FE7-AF5C-17DA2E6B1E3E}" filter="1" showAutoFilter="1">
      <pageMargins left="0.7" right="0.7" top="0.75" bottom="0.75" header="0.3" footer="0.3"/>
      <autoFilter ref="A49:I220" xr:uid="{913985F2-A938-488F-98D3-9167A075A029}"/>
      <extLst>
        <ext uri="GoogleSheetsCustomDataVersion1">
          <go:sheetsCustomData xmlns:go="http://customooxmlschemas.google.com/" filterViewId="795572380"/>
        </ext>
      </extLst>
    </customSheetView>
    <customSheetView guid="{B7459739-FF7B-43B3-B250-0DCF8416E401}" filter="1" showAutoFilter="1">
      <pageMargins left="0.7" right="0.7" top="0.75" bottom="0.75" header="0.3" footer="0.3"/>
      <autoFilter ref="A49:J63" xr:uid="{1790AAEF-9B1C-4E2E-A9CF-06635566AD3B}"/>
      <extLst>
        <ext uri="GoogleSheetsCustomDataVersion1">
          <go:sheetsCustomData xmlns:go="http://customooxmlschemas.google.com/" filterViewId="799161824"/>
        </ext>
      </extLst>
    </customSheetView>
    <customSheetView guid="{33F92E74-8D12-4DBD-BE96-35943AA5CB92}" filter="1" showAutoFilter="1">
      <pageMargins left="0.7" right="0.7" top="0.75" bottom="0.75" header="0.3" footer="0.3"/>
      <autoFilter ref="A2:O220" xr:uid="{1AF0267F-8B31-410F-8ECD-C8EC13E68581}"/>
      <extLst>
        <ext uri="GoogleSheetsCustomDataVersion1">
          <go:sheetsCustomData xmlns:go="http://customooxmlschemas.google.com/" filterViewId="799582926"/>
        </ext>
      </extLst>
    </customSheetView>
    <customSheetView guid="{09C98F4F-9DB4-46CA-B54D-4A2995F0F31F}" filter="1" showAutoFilter="1">
      <pageMargins left="0.7" right="0.7" top="0.75" bottom="0.75" header="0.3" footer="0.3"/>
      <autoFilter ref="A49:U220" xr:uid="{40A84B32-1355-428F-8549-FE605616835D}"/>
      <extLst>
        <ext uri="GoogleSheetsCustomDataVersion1">
          <go:sheetsCustomData xmlns:go="http://customooxmlschemas.google.com/" filterViewId="803318604"/>
        </ext>
      </extLst>
    </customSheetView>
    <customSheetView guid="{B3EB6E87-762C-4DA1-9D1A-2D48EB032761}" filter="1" showAutoFilter="1">
      <pageMargins left="0.7" right="0.7" top="0.75" bottom="0.75" header="0.3" footer="0.3"/>
      <autoFilter ref="A1:V220" xr:uid="{2A62D14F-90B0-4E85-BDD0-FCDF09877FD3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824769598"/>
        </ext>
      </extLst>
    </customSheetView>
    <customSheetView guid="{F7CC633A-5F52-46D7-BDDD-28A7BEC85582}" filter="1" showAutoFilter="1">
      <pageMargins left="0.7" right="0.7" top="0.75" bottom="0.75" header="0.3" footer="0.3"/>
      <autoFilter ref="A49:V220" xr:uid="{C633B7D5-CF44-4D2D-A59E-03E1CC771D63}"/>
      <extLst>
        <ext uri="GoogleSheetsCustomDataVersion1">
          <go:sheetsCustomData xmlns:go="http://customooxmlschemas.google.com/" filterViewId="827221447"/>
        </ext>
      </extLst>
    </customSheetView>
    <customSheetView guid="{62ECBD26-DE1A-4178-9982-7FCE8B05620C}" filter="1" showAutoFilter="1">
      <pageMargins left="0.7" right="0.7" top="0.75" bottom="0.75" header="0.3" footer="0.3"/>
      <autoFilter ref="A1:AA220" xr:uid="{FAE62946-BD70-4176-873E-8C576814EBA2}"/>
      <extLst>
        <ext uri="GoogleSheetsCustomDataVersion1">
          <go:sheetsCustomData xmlns:go="http://customooxmlschemas.google.com/" filterViewId="832110156"/>
        </ext>
      </extLst>
    </customSheetView>
    <customSheetView guid="{2F8F6613-367B-4DCA-AEBA-E7517ACEC861}" filter="1" showAutoFilter="1">
      <pageMargins left="0.7" right="0.7" top="0.75" bottom="0.75" header="0.3" footer="0.3"/>
      <autoFilter ref="A49:O220" xr:uid="{BC219772-9F6A-426A-8941-93120AE9A8A6}"/>
      <extLst>
        <ext uri="GoogleSheetsCustomDataVersion1">
          <go:sheetsCustomData xmlns:go="http://customooxmlschemas.google.com/" filterViewId="835391891"/>
        </ext>
      </extLst>
    </customSheetView>
    <customSheetView guid="{DF0CDE49-DB4F-4350-80A8-21AFE39CC53C}" filter="1" showAutoFilter="1">
      <pageMargins left="0.7" right="0.7" top="0.75" bottom="0.75" header="0.3" footer="0.3"/>
      <autoFilter ref="A1:V220" xr:uid="{08DBB852-C3DE-43CE-B33D-F43732A3D1F8}"/>
      <extLst>
        <ext uri="GoogleSheetsCustomDataVersion1">
          <go:sheetsCustomData xmlns:go="http://customooxmlschemas.google.com/" filterViewId="841375862"/>
        </ext>
      </extLst>
    </customSheetView>
    <customSheetView guid="{09E5EA25-4EA2-495A-8983-EE3B02D31F2C}" filter="1" showAutoFilter="1">
      <pageMargins left="0.7" right="0.7" top="0.75" bottom="0.75" header="0.3" footer="0.3"/>
      <autoFilter ref="A1:AA220" xr:uid="{ED4134E8-E770-4576-92F2-97ECC7BDC358}"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849928316"/>
        </ext>
      </extLst>
    </customSheetView>
    <customSheetView guid="{8D8AE14E-EC20-440C-9C39-5BEA7CF5A04F}" filter="1" showAutoFilter="1">
      <pageMargins left="0.7" right="0.7" top="0.75" bottom="0.75" header="0.3" footer="0.3"/>
      <autoFilter ref="A49:J63" xr:uid="{0656FCDC-139F-4E3D-AF8A-523914C8552D}"/>
      <extLst>
        <ext uri="GoogleSheetsCustomDataVersion1">
          <go:sheetsCustomData xmlns:go="http://customooxmlschemas.google.com/" filterViewId="86450948"/>
        </ext>
      </extLst>
    </customSheetView>
    <customSheetView guid="{05F2F1B6-41D6-4FE2-8B6F-005B78715AF3}" filter="1" showAutoFilter="1">
      <pageMargins left="0.7" right="0.7" top="0.75" bottom="0.75" header="0.3" footer="0.3"/>
      <autoFilter ref="A1:I220" xr:uid="{E29E3059-797D-4E62-9C59-BA27FDB9BADB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881723737"/>
        </ext>
      </extLst>
    </customSheetView>
    <customSheetView guid="{0F4A1A03-8A66-493D-AD63-B9D2D2F331E5}" filter="1" showAutoFilter="1">
      <pageMargins left="0.7" right="0.7" top="0.75" bottom="0.75" header="0.3" footer="0.3"/>
      <autoFilter ref="A49:I220" xr:uid="{2A9027AF-548D-4746-96E9-03B402B5AB95}"/>
      <extLst>
        <ext uri="GoogleSheetsCustomDataVersion1">
          <go:sheetsCustomData xmlns:go="http://customooxmlschemas.google.com/" filterViewId="891021227"/>
        </ext>
      </extLst>
    </customSheetView>
    <customSheetView guid="{7D8F2336-9D3F-44C1-A24E-157AED1D31FC}" filter="1" showAutoFilter="1">
      <pageMargins left="0.7" right="0.7" top="0.75" bottom="0.75" header="0.3" footer="0.3"/>
      <autoFilter ref="A49:U220" xr:uid="{1D85DB3D-B461-4591-8C87-933A8857AE9F}"/>
      <extLst>
        <ext uri="GoogleSheetsCustomDataVersion1">
          <go:sheetsCustomData xmlns:go="http://customooxmlschemas.google.com/" filterViewId="891266761"/>
        </ext>
      </extLst>
    </customSheetView>
    <customSheetView guid="{053C502E-8A07-4287-9848-FA53BEF25CDC}" filter="1" showAutoFilter="1">
      <pageMargins left="0.7" right="0.7" top="0.75" bottom="0.75" header="0.3" footer="0.3"/>
      <autoFilter ref="A49:O220" xr:uid="{F83EDCB0-D86A-4527-AA5B-3991D9F53F5E}"/>
      <extLst>
        <ext uri="GoogleSheetsCustomDataVersion1">
          <go:sheetsCustomData xmlns:go="http://customooxmlschemas.google.com/" filterViewId="91459185"/>
        </ext>
      </extLst>
    </customSheetView>
    <customSheetView guid="{1FD4AC56-906D-4D4D-8534-FFCD905BEAB1}" filter="1" showAutoFilter="1">
      <pageMargins left="0.7" right="0.7" top="0.75" bottom="0.75" header="0.3" footer="0.3"/>
      <autoFilter ref="B57:B220" xr:uid="{26DB790B-C9C7-450B-A4E2-DA1291485324}"/>
      <extLst>
        <ext uri="GoogleSheetsCustomDataVersion1">
          <go:sheetsCustomData xmlns:go="http://customooxmlschemas.google.com/" filterViewId="938737181"/>
        </ext>
      </extLst>
    </customSheetView>
    <customSheetView guid="{1C8DE838-11D6-4F8D-A300-0436111F4A12}" filter="1" showAutoFilter="1">
      <pageMargins left="0.7" right="0.7" top="0.75" bottom="0.75" header="0.3" footer="0.3"/>
      <autoFilter ref="A49:I220" xr:uid="{1755D671-52FE-49C1-8179-970F1D6EA9AD}"/>
      <extLst>
        <ext uri="GoogleSheetsCustomDataVersion1">
          <go:sheetsCustomData xmlns:go="http://customooxmlschemas.google.com/" filterViewId="955307603"/>
        </ext>
      </extLst>
    </customSheetView>
    <customSheetView guid="{3A6B1647-FE81-4D08-93FF-8878C0A8F211}" filter="1" showAutoFilter="1">
      <pageMargins left="0.7" right="0.7" top="0.75" bottom="0.75" header="0.3" footer="0.3"/>
      <autoFilter ref="A49:AA220" xr:uid="{C604A7F4-C9A4-4689-9AEC-527DCCCF4F38}"/>
      <extLst>
        <ext uri="GoogleSheetsCustomDataVersion1">
          <go:sheetsCustomData xmlns:go="http://customooxmlschemas.google.com/" filterViewId="976834670"/>
        </ext>
      </extLst>
    </customSheetView>
  </customSheetViews>
  <mergeCells count="13">
    <mergeCell ref="C60:G60"/>
    <mergeCell ref="C55:G55"/>
    <mergeCell ref="C56:G56"/>
    <mergeCell ref="C57:G57"/>
    <mergeCell ref="C58:G58"/>
    <mergeCell ref="C59:G59"/>
    <mergeCell ref="C69:G69"/>
    <mergeCell ref="C61:G61"/>
    <mergeCell ref="C63:G63"/>
    <mergeCell ref="C64:G64"/>
    <mergeCell ref="C65:G65"/>
    <mergeCell ref="C67:G67"/>
    <mergeCell ref="C68:G68"/>
  </mergeCells>
  <phoneticPr fontId="17" type="noConversion"/>
  <conditionalFormatting sqref="D1">
    <cfRule type="containsText" dxfId="15" priority="1" operator="containsText" text="ATENDIDO">
      <formula>NOT(ISERROR(SEARCH(("ATENDIDO"),(D1))))</formula>
    </cfRule>
    <cfRule type="containsText" dxfId="14" priority="2" operator="containsText" text="PENDIENTE">
      <formula>NOT(ISERROR(SEARCH(("PENDIENTE"),(D1))))</formula>
    </cfRule>
    <cfRule type="containsText" dxfId="13" priority="3" operator="containsText" text="NO APLICA">
      <formula>NOT(ISERROR(SEARCH(("NO APLICA"),(D1))))</formula>
    </cfRule>
  </conditionalFormatting>
  <conditionalFormatting sqref="D2:D50 W2:W50">
    <cfRule type="cellIs" dxfId="12" priority="4" operator="equal">
      <formula>$B$60</formula>
    </cfRule>
    <cfRule type="cellIs" dxfId="11" priority="5" operator="equal">
      <formula>$B$61</formula>
    </cfRule>
    <cfRule type="cellIs" dxfId="10" priority="6" operator="equal">
      <formula>$B$59</formula>
    </cfRule>
    <cfRule type="cellIs" dxfId="9" priority="7" operator="equal">
      <formula>$B$57</formula>
    </cfRule>
    <cfRule type="cellIs" dxfId="8" priority="8" operator="equal">
      <formula>$B$58</formula>
    </cfRule>
    <cfRule type="cellIs" dxfId="7" priority="9" operator="equal">
      <formula>$B$56</formula>
    </cfRule>
    <cfRule type="cellIs" dxfId="6" priority="10" operator="equal">
      <formula>$B$55</formula>
    </cfRule>
  </conditionalFormatting>
  <conditionalFormatting sqref="G2:G50">
    <cfRule type="cellIs" dxfId="5" priority="12" operator="equal">
      <formula>$B$65</formula>
    </cfRule>
    <cfRule type="cellIs" dxfId="4" priority="13" operator="equal">
      <formula>$B$64</formula>
    </cfRule>
    <cfRule type="cellIs" dxfId="3" priority="14" operator="equal">
      <formula>$B$63</formula>
    </cfRule>
  </conditionalFormatting>
  <conditionalFormatting sqref="U2:U50">
    <cfRule type="cellIs" dxfId="2" priority="21" operator="equal">
      <formula>$B$69</formula>
    </cfRule>
    <cfRule type="cellIs" dxfId="1" priority="22" operator="equal">
      <formula>$B$68</formula>
    </cfRule>
    <cfRule type="cellIs" dxfId="0" priority="23" operator="equal">
      <formula>$B$67</formula>
    </cfRule>
  </conditionalFormatting>
  <dataValidations count="5">
    <dataValidation type="list" allowBlank="1" showErrorMessage="1" sqref="U2:U50" xr:uid="{00000000-0002-0000-0200-000000000000}">
      <formula1>$B$67:$B$69</formula1>
    </dataValidation>
    <dataValidation type="list" allowBlank="1" sqref="W1" xr:uid="{00000000-0002-0000-0200-000001000000}">
      <formula1>"Atendido,Pendiente,Desestimado,Nuevo Requerimiento"</formula1>
    </dataValidation>
    <dataValidation type="list" allowBlank="1" showErrorMessage="1" sqref="G2:G50" xr:uid="{00000000-0002-0000-0200-000002000000}">
      <formula1>$B$63:$B$65</formula1>
    </dataValidation>
    <dataValidation type="list" allowBlank="1" sqref="X1:Y1" xr:uid="{00000000-0002-0000-0200-000003000000}">
      <formula1>"Yois T,Katty T.,Verónica C.,Renzo A."</formula1>
    </dataValidation>
    <dataValidation type="list" allowBlank="1" showErrorMessage="1" sqref="D2:D50 W2:W50" xr:uid="{00000000-0002-0000-0200-000004000000}">
      <formula1>$B$55:$B$61</formula1>
    </dataValidation>
  </dataValidations>
  <pageMargins left="0.23622047244094499" right="0.23622047244094499" top="0.74803149606299202" bottom="0.74803149606299202" header="0" footer="0"/>
  <pageSetup paperSize="66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EJECUCION</vt:lpstr>
      <vt:lpstr>AVANCE EJECUCIÓN </vt:lpstr>
      <vt:lpstr>CONSOLIDADO DE 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Katterine Cobeñas Pasapera</dc:creator>
  <cp:lastModifiedBy>ERICK DE LA CRUZ</cp:lastModifiedBy>
  <dcterms:created xsi:type="dcterms:W3CDTF">2019-01-10T23:07:00Z</dcterms:created>
  <dcterms:modified xsi:type="dcterms:W3CDTF">2026-09-23T03:00:31Z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3082-11.2.0.9747</vt:lpwstr>
  </property>
  <property fmtid="{D5CDD505-2E9C-101B-9397-08002B2CF9AE}" pid="3" name="ContentTypeId">
    <vt:lpwstr>0x010100C7D1DCAACD82B545AB88BF4ABED74A19</vt:lpwstr>
  </property>
  <property fmtid="{D5CDD505-2E9C-101B-9397-08002B2CF9AE}" pid="4" name="Order">
    <vt:r8>14124900</vt:r8>
  </property>
  <property fmtid="{D5CDD505-2E9C-101B-9397-08002B2CF9AE}" pid="5" name="SharedWithUsers">
    <vt:lpwstr>549;#Raul Cesar Huertas Salazar</vt:lpwstr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_activity">
    <vt:lpwstr>{"FileActivityType":"9","FileActivityTimeStamp":"2025-04-23T20:38:58.500Z","FileActivityUsersOnPage":[{"DisplayName":"Evelyn Catterine Cobeñas Pasapera","Id":"ecobenas@contraloria.gob.pe"},{"DisplayName":"Raul Evert Segovia Diaz","Id":"rsegovia@contraloria.gob.pe"},{"DisplayName":"Juan Francisco Fernandez Sanchez","Id":"jfernandezs@contraloria.gob.pe"},{"DisplayName":"Jairo Wilfredo Puente De La Vega Chavez","Id":"jpuentedelavega@contraloria.gob.pe"},{"DisplayName":"Roberto Enriquez Morales","Id":"renriquez@contraloria.gob.pe"},{"DisplayName":"Evelyn Catterine Cobeñas Pasapera","Id":"ecobenas@contraloria.gob.pe"}],"FileActivityNavigationId":null}</vt:lpwstr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